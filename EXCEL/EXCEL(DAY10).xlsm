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WebImage.xml" ContentType="application/vnd.ms-excel.rdrichvaluewebimage+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3.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4.xml" ContentType="application/vnd.openxmlformats-officedocument.drawing+xml"/>
  <Override PartName="/xl/tables/table4.xml" ContentType="application/vnd.openxmlformats-officedocument.spreadsheetml.tab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hidePivotFieldList="1"/>
  <mc:AlternateContent xmlns:mc="http://schemas.openxmlformats.org/markup-compatibility/2006">
    <mc:Choice Requires="x15">
      <x15ac:absPath xmlns:x15ac="http://schemas.microsoft.com/office/spreadsheetml/2010/11/ac" url="https://gxportal-my.sharepoint.com/personal/ashetty_galaxe_com/Documents/AEXCEL/"/>
    </mc:Choice>
  </mc:AlternateContent>
  <xr:revisionPtr revIDLastSave="809" documentId="8_{AD346B9D-030D-42D9-8E1B-7DD88E13504A}" xr6:coauthVersionLast="47" xr6:coauthVersionMax="47" xr10:uidLastSave="{F548EF77-A5BB-4C77-BC30-5A578FC056B6}"/>
  <bookViews>
    <workbookView xWindow="-110" yWindow="-110" windowWidth="19420" windowHeight="10300" firstSheet="6" activeTab="7" xr2:uid="{00000000-000D-0000-FFFF-FFFF00000000}"/>
  </bookViews>
  <sheets>
    <sheet name="Pivot_table" sheetId="2" r:id="rId1"/>
    <sheet name="Macros" sheetId="3" r:id="rId2"/>
    <sheet name="Pivot_table and chart" sheetId="6" r:id="rId3"/>
    <sheet name="Pivot_table_grouping" sheetId="10" r:id="rId4"/>
    <sheet name="Sheet7" sheetId="12" r:id="rId5"/>
    <sheet name="Testing_macro" sheetId="9" r:id="rId6"/>
    <sheet name="Relative ref" sheetId="13" r:id="rId7"/>
    <sheet name="Absolute ref macros" sheetId="14" r:id="rId8"/>
  </sheets>
  <definedNames>
    <definedName name="Cat">'Pivot_table and chart'!$C$20</definedName>
    <definedName name="Cheetah">'Pivot_table and chart'!$C$24</definedName>
    <definedName name="Dog">'Pivot_table and chart'!$C$21</definedName>
    <definedName name="Giraffe">'Pivot_table and chart'!$C$26</definedName>
    <definedName name="Lion">'Pivot_table and chart'!$C$25</definedName>
    <definedName name="Slicer_Age">#N/A</definedName>
    <definedName name="Slicer_Close">#N/A</definedName>
    <definedName name="Slicer_Country">#N/A</definedName>
    <definedName name="Slicer_Deadline">#N/A</definedName>
    <definedName name="Slicer_Geography">#N/A</definedName>
    <definedName name="Slicer_Individual_deadline">#N/A</definedName>
    <definedName name="Slicer_Open">#N/A</definedName>
    <definedName name="Slicer_Project">#N/A</definedName>
    <definedName name="Slicer_Volume">#N/A</definedName>
    <definedName name="Tiger">'Pivot_table and chart'!$C$23</definedName>
    <definedName name="Wolf">'Pivot_table and chart'!$C$22</definedName>
  </definedNames>
  <calcPr calcId="191029"/>
  <pivotCaches>
    <pivotCache cacheId="67" r:id="rId9"/>
    <pivotCache cacheId="49" r:id="rId10"/>
    <pivotCache cacheId="57" r:id="rId11"/>
    <pivotCache cacheId="65" r:id="rId12"/>
  </pivotCaches>
  <extLst>
    <ext xmlns:x14="http://schemas.microsoft.com/office/spreadsheetml/2009/9/main" uri="{BBE1A952-AA13-448e-AADC-164F8A28A991}">
      <x14:slicerCaches>
        <x14:slicerCache r:id="rId13"/>
        <x14:slicerCache r:id="rId14"/>
        <x14:slicerCache r:id="rId15"/>
        <x14:slicerCache r:id="rId16"/>
        <x14:slicerCache r:id="rId17"/>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7" i="6" l="1"/>
  <c r="H16" i="6"/>
  <c r="H15" i="6"/>
  <c r="H14" i="6"/>
  <c r="H13" i="6"/>
  <c r="H12" i="6"/>
  <c r="H11" i="6"/>
  <c r="H10" i="6"/>
  <c r="H4" i="6"/>
  <c r="H5" i="6"/>
  <c r="H6" i="6"/>
  <c r="H7" i="6"/>
  <c r="H8" i="6"/>
  <c r="H9" i="6"/>
  <c r="H3" i="6"/>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1">
    <bk>
      <extLst>
        <ext uri="{3e2802c4-a4d2-4d8b-9148-e3be6c30e623}">
          <xlrd:rvb i="0"/>
        </ext>
      </extLst>
    </bk>
    <bk>
      <extLst>
        <ext uri="{3e2802c4-a4d2-4d8b-9148-e3be6c30e623}">
          <xlrd:rvb i="84"/>
        </ext>
      </extLst>
    </bk>
    <bk>
      <extLst>
        <ext uri="{3e2802c4-a4d2-4d8b-9148-e3be6c30e623}">
          <xlrd:rvb i="174"/>
        </ext>
      </extLst>
    </bk>
    <bk>
      <extLst>
        <ext uri="{3e2802c4-a4d2-4d8b-9148-e3be6c30e623}">
          <xlrd:rvb i="301"/>
        </ext>
      </extLst>
    </bk>
    <bk>
      <extLst>
        <ext uri="{3e2802c4-a4d2-4d8b-9148-e3be6c30e623}">
          <xlrd:rvb i="365"/>
        </ext>
      </extLst>
    </bk>
    <bk>
      <extLst>
        <ext uri="{3e2802c4-a4d2-4d8b-9148-e3be6c30e623}">
          <xlrd:rvb i="485"/>
        </ext>
      </extLst>
    </bk>
    <bk>
      <extLst>
        <ext uri="{3e2802c4-a4d2-4d8b-9148-e3be6c30e623}">
          <xlrd:rvb i="541"/>
        </ext>
      </extLst>
    </bk>
    <bk>
      <extLst>
        <ext uri="{3e2802c4-a4d2-4d8b-9148-e3be6c30e623}">
          <xlrd:rvb i="599"/>
        </ext>
      </extLst>
    </bk>
    <bk>
      <extLst>
        <ext uri="{3e2802c4-a4d2-4d8b-9148-e3be6c30e623}">
          <xlrd:rvb i="676"/>
        </ext>
      </extLst>
    </bk>
    <bk>
      <extLst>
        <ext uri="{3e2802c4-a4d2-4d8b-9148-e3be6c30e623}">
          <xlrd:rvb i="726"/>
        </ext>
      </extLst>
    </bk>
    <bk>
      <extLst>
        <ext uri="{3e2802c4-a4d2-4d8b-9148-e3be6c30e623}">
          <xlrd:rvb i="833"/>
        </ext>
      </extLst>
    </bk>
  </futureMetadata>
  <valueMetadata count="11">
    <bk>
      <rc t="1" v="0"/>
    </bk>
    <bk>
      <rc t="1" v="1"/>
    </bk>
    <bk>
      <rc t="1" v="2"/>
    </bk>
    <bk>
      <rc t="1" v="3"/>
    </bk>
    <bk>
      <rc t="1" v="4"/>
    </bk>
    <bk>
      <rc t="1" v="5"/>
    </bk>
    <bk>
      <rc t="1" v="6"/>
    </bk>
    <bk>
      <rc t="1" v="7"/>
    </bk>
    <bk>
      <rc t="1" v="8"/>
    </bk>
    <bk>
      <rc t="1" v="9"/>
    </bk>
    <bk>
      <rc t="1" v="10"/>
    </bk>
  </valueMetadata>
</metadata>
</file>

<file path=xl/sharedStrings.xml><?xml version="1.0" encoding="utf-8"?>
<sst xmlns="http://schemas.openxmlformats.org/spreadsheetml/2006/main" count="393" uniqueCount="113">
  <si>
    <t>The Flipkart App - Daily Stock value</t>
  </si>
  <si>
    <t>Date</t>
  </si>
  <si>
    <t>Open</t>
  </si>
  <si>
    <t>High</t>
  </si>
  <si>
    <t>Low</t>
  </si>
  <si>
    <t>Close</t>
  </si>
  <si>
    <t>Volume</t>
  </si>
  <si>
    <t>Chg%</t>
  </si>
  <si>
    <t>92.28M</t>
  </si>
  <si>
    <t>356.02M</t>
  </si>
  <si>
    <t>583.09M</t>
  </si>
  <si>
    <t>348.32M</t>
  </si>
  <si>
    <t>293.46M</t>
  </si>
  <si>
    <t>231.60M</t>
  </si>
  <si>
    <t>537.58M</t>
  </si>
  <si>
    <t>320.35M</t>
  </si>
  <si>
    <t>291.68M</t>
  </si>
  <si>
    <t>280.47M</t>
  </si>
  <si>
    <t>259.04M</t>
  </si>
  <si>
    <t>489.69M</t>
  </si>
  <si>
    <t>361.20M</t>
  </si>
  <si>
    <t>238.04M</t>
  </si>
  <si>
    <t>317.81M</t>
  </si>
  <si>
    <t>334.33M</t>
  </si>
  <si>
    <t>363.14M</t>
  </si>
  <si>
    <t>445.28M</t>
  </si>
  <si>
    <t>330.77M</t>
  </si>
  <si>
    <t>762.10M</t>
  </si>
  <si>
    <t>Geography</t>
  </si>
  <si>
    <t>India</t>
  </si>
  <si>
    <t>China</t>
  </si>
  <si>
    <t>Uae</t>
  </si>
  <si>
    <t>Us</t>
  </si>
  <si>
    <t>Thailand</t>
  </si>
  <si>
    <t>Vietnam</t>
  </si>
  <si>
    <t>Row Labels</t>
  </si>
  <si>
    <t>Grand Total</t>
  </si>
  <si>
    <t>Sum of Chg%</t>
  </si>
  <si>
    <t>(All)</t>
  </si>
  <si>
    <t>Values</t>
  </si>
  <si>
    <t>231.60M Sum of Chg%</t>
  </si>
  <si>
    <t>231.60M Sum of Difference</t>
  </si>
  <si>
    <t>Total Sum of Chg%</t>
  </si>
  <si>
    <t>Total Sum of Difference</t>
  </si>
  <si>
    <t>Sum of Difference</t>
  </si>
  <si>
    <t>If table doesn’t get updates - in pivot analysis, change data source.</t>
  </si>
  <si>
    <t>Name</t>
  </si>
  <si>
    <t>Sum of Open</t>
  </si>
  <si>
    <t>If thers any activity that eeds to be performed frequently</t>
  </si>
  <si>
    <t>then we can save its steps</t>
  </si>
  <si>
    <t>Sl No</t>
  </si>
  <si>
    <t>Country</t>
  </si>
  <si>
    <t>Asia</t>
  </si>
  <si>
    <t>Japan</t>
  </si>
  <si>
    <t>Mongolia</t>
  </si>
  <si>
    <t>Navors Brian</t>
  </si>
  <si>
    <t>Patel KishanKumar</t>
  </si>
  <si>
    <t xml:space="preserve">Rominger William </t>
  </si>
  <si>
    <t>Rutland Daniel</t>
  </si>
  <si>
    <t>Schmidt Robert</t>
  </si>
  <si>
    <t>Tjienda Prince</t>
  </si>
  <si>
    <t>Venno Nathan</t>
  </si>
  <si>
    <t>Anderson Reina</t>
  </si>
  <si>
    <t xml:space="preserve">Buruin Christy </t>
  </si>
  <si>
    <t>Heflin Viola</t>
  </si>
  <si>
    <t>Daniel Radcliffe</t>
  </si>
  <si>
    <t>Sam Von</t>
  </si>
  <si>
    <t>Luna Winter</t>
  </si>
  <si>
    <t xml:space="preserve">George </t>
  </si>
  <si>
    <t xml:space="preserve">Clove </t>
  </si>
  <si>
    <t>Age</t>
  </si>
  <si>
    <t>Income</t>
  </si>
  <si>
    <t>Project</t>
  </si>
  <si>
    <t>Cat</t>
  </si>
  <si>
    <t>Dog</t>
  </si>
  <si>
    <t>Wolf</t>
  </si>
  <si>
    <t>Tiger</t>
  </si>
  <si>
    <t>Cheetah</t>
  </si>
  <si>
    <t>Lion</t>
  </si>
  <si>
    <t>Giraffe</t>
  </si>
  <si>
    <t>Deadline</t>
  </si>
  <si>
    <t>Projects</t>
  </si>
  <si>
    <t>2023</t>
  </si>
  <si>
    <t>Qtr3</t>
  </si>
  <si>
    <t>Sep</t>
  </si>
  <si>
    <t>2024</t>
  </si>
  <si>
    <t>Qtr1</t>
  </si>
  <si>
    <t>Feb</t>
  </si>
  <si>
    <t>Qtr4</t>
  </si>
  <si>
    <t>Oct</t>
  </si>
  <si>
    <t>Qtr2</t>
  </si>
  <si>
    <t>Mar</t>
  </si>
  <si>
    <t>Max of Age</t>
  </si>
  <si>
    <t>Individual deadline</t>
  </si>
  <si>
    <t>Max of Income</t>
  </si>
  <si>
    <t>Min of Individual deadline</t>
  </si>
  <si>
    <t>Macro ran only on data located at A5</t>
  </si>
  <si>
    <t>Data used:</t>
  </si>
  <si>
    <t>May</t>
  </si>
  <si>
    <t>Jun</t>
  </si>
  <si>
    <t>Aug</t>
  </si>
  <si>
    <t>Nov</t>
  </si>
  <si>
    <t>Dec</t>
  </si>
  <si>
    <t>Region</t>
  </si>
  <si>
    <t>Value</t>
  </si>
  <si>
    <t>East</t>
  </si>
  <si>
    <t>Midwest</t>
  </si>
  <si>
    <t>South</t>
  </si>
  <si>
    <t>Sum of Value</t>
  </si>
  <si>
    <t>Southeast</t>
  </si>
  <si>
    <t>Aus</t>
  </si>
  <si>
    <t>Brazil</t>
  </si>
  <si>
    <t>japan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</si>
</sst>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8" formatCode="&quot;$&quot;#,##0"/>
  </numFmts>
  <fonts count="8" x14ac:knownFonts="1">
    <font>
      <sz val="11"/>
      <color theme="1"/>
      <name val="Calibri"/>
      <family val="2"/>
      <scheme val="minor"/>
    </font>
    <font>
      <sz val="11"/>
      <color rgb="FFFF0000"/>
      <name val="Calibri"/>
      <family val="2"/>
      <scheme val="minor"/>
    </font>
    <font>
      <sz val="11"/>
      <color rgb="FF66758A"/>
      <name val="Calibri"/>
      <family val="2"/>
      <scheme val="minor"/>
    </font>
    <font>
      <sz val="11"/>
      <color rgb="FF000000"/>
      <name val="Calibri"/>
      <family val="2"/>
      <scheme val="minor"/>
    </font>
    <font>
      <sz val="11"/>
      <color rgb="FF0EA600"/>
      <name val="Calibri"/>
      <family val="2"/>
      <scheme val="minor"/>
    </font>
    <font>
      <b/>
      <sz val="14"/>
      <color rgb="FF66758A"/>
      <name val="Calibri Light"/>
      <family val="2"/>
      <scheme val="major"/>
    </font>
    <font>
      <i/>
      <sz val="16"/>
      <color theme="1"/>
      <name val="Abadi"/>
      <family val="2"/>
    </font>
    <font>
      <u/>
      <sz val="11"/>
      <color theme="1"/>
      <name val="Calibri"/>
      <family val="2"/>
      <scheme val="minor"/>
    </font>
  </fonts>
  <fills count="8">
    <fill>
      <patternFill patternType="none"/>
    </fill>
    <fill>
      <patternFill patternType="gray125"/>
    </fill>
    <fill>
      <patternFill patternType="solid">
        <fgColor theme="5" tint="0.59999389629810485"/>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5" tint="0.79995117038483843"/>
        <bgColor indexed="64"/>
      </patternFill>
    </fill>
    <fill>
      <patternFill patternType="solid">
        <fgColor theme="6" tint="0.79995117038483843"/>
        <bgColor indexed="64"/>
      </patternFill>
    </fill>
    <fill>
      <patternFill patternType="solid">
        <fgColor theme="4" tint="0.39994506668294322"/>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style="thin">
        <color indexed="64"/>
      </right>
      <top/>
      <bottom/>
      <diagonal/>
    </border>
  </borders>
  <cellStyleXfs count="1">
    <xf numFmtId="0" fontId="0" fillId="0" borderId="0"/>
  </cellStyleXfs>
  <cellXfs count="73">
    <xf numFmtId="0" fontId="0" fillId="0" borderId="0" xfId="0"/>
    <xf numFmtId="0" fontId="2" fillId="0" borderId="1" xfId="0" applyFont="1" applyBorder="1" applyAlignment="1">
      <alignment horizontal="left" vertical="center"/>
    </xf>
    <xf numFmtId="0" fontId="2" fillId="0" borderId="1" xfId="0" applyFont="1" applyBorder="1" applyAlignment="1">
      <alignment horizontal="center" vertical="center"/>
    </xf>
    <xf numFmtId="15" fontId="3" fillId="0" borderId="1" xfId="0" applyNumberFormat="1" applyFont="1" applyBorder="1" applyAlignment="1">
      <alignment horizontal="left" vertical="center"/>
    </xf>
    <xf numFmtId="4" fontId="3" fillId="0" borderId="1" xfId="0" applyNumberFormat="1" applyFont="1" applyBorder="1" applyAlignment="1">
      <alignment horizontal="right" vertical="center"/>
    </xf>
    <xf numFmtId="4" fontId="4" fillId="0" borderId="1" xfId="0" applyNumberFormat="1" applyFont="1" applyBorder="1" applyAlignment="1">
      <alignment horizontal="right" vertical="center"/>
    </xf>
    <xf numFmtId="0" fontId="3" fillId="0" borderId="1" xfId="0" applyFont="1" applyBorder="1" applyAlignment="1">
      <alignment horizontal="right" vertical="center"/>
    </xf>
    <xf numFmtId="10" fontId="4" fillId="0" borderId="1" xfId="0" applyNumberFormat="1" applyFont="1" applyBorder="1" applyAlignment="1">
      <alignment horizontal="right" vertical="center"/>
    </xf>
    <xf numFmtId="4" fontId="1" fillId="0" borderId="1" xfId="0" applyNumberFormat="1" applyFont="1" applyBorder="1" applyAlignment="1">
      <alignment horizontal="right" vertical="center"/>
    </xf>
    <xf numFmtId="10" fontId="1" fillId="0" borderId="1" xfId="0" applyNumberFormat="1" applyFont="1" applyBorder="1" applyAlignment="1">
      <alignment horizontal="right" vertical="center"/>
    </xf>
    <xf numFmtId="0" fontId="0" fillId="0" borderId="0" xfId="0" pivotButton="1"/>
    <xf numFmtId="15" fontId="0" fillId="0" borderId="0" xfId="0" applyNumberFormat="1" applyAlignment="1">
      <alignment horizontal="left"/>
    </xf>
    <xf numFmtId="0" fontId="0" fillId="0" borderId="0" xfId="0" applyAlignment="1">
      <alignment horizontal="left" indent="1"/>
    </xf>
    <xf numFmtId="0" fontId="0" fillId="0" borderId="0" xfId="0" applyAlignment="1">
      <alignment horizontal="left" indent="2"/>
    </xf>
    <xf numFmtId="4" fontId="0" fillId="0" borderId="0" xfId="0" applyNumberFormat="1"/>
    <xf numFmtId="0" fontId="5" fillId="2" borderId="2" xfId="0" applyFont="1" applyFill="1" applyBorder="1" applyAlignment="1">
      <alignment horizontal="left" vertical="center"/>
    </xf>
    <xf numFmtId="0" fontId="5" fillId="2" borderId="3" xfId="0" applyFont="1" applyFill="1" applyBorder="1" applyAlignment="1">
      <alignment horizontal="center" vertical="center"/>
    </xf>
    <xf numFmtId="0" fontId="5" fillId="2" borderId="4" xfId="0" applyFont="1" applyFill="1" applyBorder="1" applyAlignment="1">
      <alignment horizontal="center" vertical="center"/>
    </xf>
    <xf numFmtId="164" fontId="3" fillId="3" borderId="1" xfId="0" applyNumberFormat="1" applyFont="1" applyFill="1" applyBorder="1" applyAlignment="1">
      <alignment horizontal="right" vertical="center"/>
    </xf>
    <xf numFmtId="164" fontId="4" fillId="3" borderId="1" xfId="0" applyNumberFormat="1" applyFont="1" applyFill="1" applyBorder="1" applyAlignment="1">
      <alignment horizontal="right" vertical="center"/>
    </xf>
    <xf numFmtId="0" fontId="3" fillId="3" borderId="1" xfId="0" applyFont="1" applyFill="1" applyBorder="1" applyAlignment="1">
      <alignment horizontal="right" vertical="center"/>
    </xf>
    <xf numFmtId="164" fontId="1" fillId="3" borderId="1" xfId="0" applyNumberFormat="1" applyFont="1" applyFill="1" applyBorder="1" applyAlignment="1">
      <alignment horizontal="right" vertical="center"/>
    </xf>
    <xf numFmtId="164" fontId="3" fillId="3" borderId="8" xfId="0" applyNumberFormat="1" applyFont="1" applyFill="1" applyBorder="1" applyAlignment="1">
      <alignment horizontal="right" vertical="center"/>
    </xf>
    <xf numFmtId="164" fontId="1" fillId="3" borderId="8" xfId="0" applyNumberFormat="1" applyFont="1" applyFill="1" applyBorder="1" applyAlignment="1">
      <alignment horizontal="right" vertical="center"/>
    </xf>
    <xf numFmtId="0" fontId="3" fillId="3" borderId="8" xfId="0" applyFont="1" applyFill="1" applyBorder="1" applyAlignment="1">
      <alignment horizontal="right" vertical="center"/>
    </xf>
    <xf numFmtId="10" fontId="4" fillId="4" borderId="6" xfId="0" applyNumberFormat="1" applyFont="1" applyFill="1" applyBorder="1" applyAlignment="1">
      <alignment horizontal="right" vertical="center"/>
    </xf>
    <xf numFmtId="10" fontId="1" fillId="4" borderId="6" xfId="0" applyNumberFormat="1" applyFont="1" applyFill="1" applyBorder="1" applyAlignment="1">
      <alignment horizontal="right" vertical="center"/>
    </xf>
    <xf numFmtId="10" fontId="1" fillId="4" borderId="9" xfId="0" applyNumberFormat="1" applyFont="1" applyFill="1" applyBorder="1" applyAlignment="1">
      <alignment horizontal="right" vertical="center"/>
    </xf>
    <xf numFmtId="15" fontId="3" fillId="3" borderId="5" xfId="0" applyNumberFormat="1" applyFont="1" applyFill="1" applyBorder="1" applyAlignment="1">
      <alignment horizontal="center" vertical="center"/>
    </xf>
    <xf numFmtId="15" fontId="3" fillId="3" borderId="7" xfId="0" applyNumberFormat="1" applyFont="1" applyFill="1" applyBorder="1" applyAlignment="1">
      <alignment horizontal="center" vertical="center"/>
    </xf>
    <xf numFmtId="0" fontId="0" fillId="0" borderId="0" xfId="0" applyAlignment="1">
      <alignment horizontal="center"/>
    </xf>
    <xf numFmtId="0" fontId="0" fillId="0" borderId="1" xfId="0" applyBorder="1" applyAlignment="1">
      <alignment horizontal="center"/>
    </xf>
    <xf numFmtId="14" fontId="0" fillId="0" borderId="0" xfId="0" applyNumberFormat="1"/>
    <xf numFmtId="0" fontId="0" fillId="0" borderId="0" xfId="0" applyNumberFormat="1"/>
    <xf numFmtId="0" fontId="0" fillId="0" borderId="0" xfId="0" applyAlignment="1">
      <alignment horizontal="left"/>
    </xf>
    <xf numFmtId="0" fontId="0" fillId="0" borderId="0" xfId="0" applyAlignment="1">
      <alignment horizontal="left" indent="3"/>
    </xf>
    <xf numFmtId="2" fontId="0" fillId="0" borderId="0" xfId="0" applyNumberFormat="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 xfId="0" applyBorder="1"/>
    <xf numFmtId="168" fontId="0" fillId="0" borderId="1" xfId="0" applyNumberFormat="1" applyBorder="1"/>
    <xf numFmtId="14" fontId="0" fillId="0" borderId="1" xfId="0" applyNumberFormat="1" applyBorder="1"/>
    <xf numFmtId="0" fontId="0" fillId="0" borderId="16" xfId="0" applyBorder="1"/>
    <xf numFmtId="0" fontId="0" fillId="0" borderId="17" xfId="0" applyBorder="1"/>
    <xf numFmtId="14" fontId="0" fillId="0" borderId="17" xfId="0" applyNumberFormat="1" applyBorder="1"/>
    <xf numFmtId="0" fontId="0" fillId="0" borderId="15" xfId="0" applyBorder="1"/>
    <xf numFmtId="0" fontId="0" fillId="0" borderId="18" xfId="0" applyBorder="1"/>
    <xf numFmtId="0" fontId="0" fillId="0" borderId="19" xfId="0" applyBorder="1"/>
    <xf numFmtId="168" fontId="0" fillId="0" borderId="19" xfId="0" applyNumberFormat="1" applyBorder="1"/>
    <xf numFmtId="14" fontId="0" fillId="0" borderId="19" xfId="0" applyNumberFormat="1" applyBorder="1"/>
    <xf numFmtId="14" fontId="0" fillId="0" borderId="10" xfId="0" applyNumberFormat="1" applyBorder="1"/>
    <xf numFmtId="0" fontId="0" fillId="0" borderId="20" xfId="0" applyBorder="1"/>
    <xf numFmtId="0" fontId="5" fillId="2" borderId="2" xfId="0" applyFont="1" applyFill="1" applyBorder="1"/>
    <xf numFmtId="0" fontId="5" fillId="2" borderId="3" xfId="0" applyFont="1" applyFill="1" applyBorder="1"/>
    <xf numFmtId="0" fontId="5" fillId="2" borderId="4" xfId="0" applyFont="1" applyFill="1" applyBorder="1"/>
    <xf numFmtId="164" fontId="0" fillId="5" borderId="1" xfId="0" applyNumberFormat="1" applyFill="1" applyBorder="1"/>
    <xf numFmtId="0" fontId="0" fillId="5" borderId="1" xfId="0" applyFill="1" applyBorder="1"/>
    <xf numFmtId="164" fontId="0" fillId="5" borderId="8" xfId="0" applyNumberFormat="1" applyFill="1" applyBorder="1"/>
    <xf numFmtId="0" fontId="0" fillId="5" borderId="8" xfId="0" applyFill="1" applyBorder="1"/>
    <xf numFmtId="0" fontId="0" fillId="6" borderId="6" xfId="0" applyFill="1" applyBorder="1"/>
    <xf numFmtId="0" fontId="0" fillId="6" borderId="9" xfId="0" applyFill="1" applyBorder="1"/>
    <xf numFmtId="0" fontId="0" fillId="5" borderId="5" xfId="0" applyFill="1" applyBorder="1" applyAlignment="1">
      <alignment horizontal="center" vertical="center"/>
    </xf>
    <xf numFmtId="0" fontId="0" fillId="5" borderId="7" xfId="0" applyFill="1" applyBorder="1" applyAlignment="1">
      <alignment horizontal="center" vertical="center"/>
    </xf>
    <xf numFmtId="1" fontId="0" fillId="0" borderId="0" xfId="0" applyNumberFormat="1"/>
    <xf numFmtId="15" fontId="0" fillId="0" borderId="16" xfId="0" applyNumberFormat="1" applyBorder="1"/>
    <xf numFmtId="15" fontId="0" fillId="0" borderId="12" xfId="0" applyNumberFormat="1" applyBorder="1"/>
    <xf numFmtId="0" fontId="6" fillId="5" borderId="19" xfId="0" applyFont="1" applyFill="1" applyBorder="1" applyAlignment="1">
      <alignment horizontal="left"/>
    </xf>
    <xf numFmtId="0" fontId="6" fillId="5" borderId="21" xfId="0" applyFont="1" applyFill="1" applyBorder="1" applyAlignment="1">
      <alignment horizontal="left"/>
    </xf>
    <xf numFmtId="0" fontId="6" fillId="5" borderId="18" xfId="0" applyFont="1" applyFill="1" applyBorder="1" applyAlignment="1">
      <alignment horizontal="left"/>
    </xf>
    <xf numFmtId="0" fontId="7" fillId="7" borderId="1" xfId="0" applyFont="1" applyFill="1" applyBorder="1"/>
  </cellXfs>
  <cellStyles count="1">
    <cellStyle name="Normal" xfId="0" builtinId="0"/>
  </cellStyles>
  <dxfs count="28">
    <dxf>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20" formatCode="d\-mmm\-yy"/>
      <border diagonalUp="0" diagonalDown="0">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border diagonalUp="0" diagonalDown="0">
        <left/>
        <right/>
        <top style="thin">
          <color indexed="64"/>
        </top>
        <bottom style="thin">
          <color indexed="64"/>
        </bottom>
        <vertical/>
        <horizontal/>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numFmt numFmtId="19" formatCode="m/d/yyyy"/>
      <border diagonalUp="0" diagonalDown="0">
        <left style="thin">
          <color indexed="64"/>
        </left>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numFmt numFmtId="19" formatCode="m/d/yyyy"/>
      <border diagonalUp="0" diagonalDown="0">
        <left style="thin">
          <color indexed="64"/>
        </left>
        <right/>
        <top style="thin">
          <color indexed="64"/>
        </top>
        <bottom style="thin">
          <color indexed="64"/>
        </bottom>
        <vertical/>
        <horizontal/>
      </border>
    </dxf>
    <dxf>
      <numFmt numFmtId="19" formatCode="m/d/yyyy"/>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168" formatCode="&quot;$&quot;#,##0"/>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1.xml"/><Relationship Id="rId18" Type="http://schemas.microsoft.com/office/2007/relationships/slicerCache" Target="slicerCaches/slicerCache6.xml"/><Relationship Id="rId26" Type="http://schemas.microsoft.com/office/2020/07/relationships/rdRichValueWebImage" Target="richData/rdRichValueWebImage.xml"/><Relationship Id="rId3" Type="http://schemas.openxmlformats.org/officeDocument/2006/relationships/worksheet" Target="worksheets/sheet3.xml"/><Relationship Id="rId21" Type="http://schemas.microsoft.com/office/2007/relationships/slicerCache" Target="slicerCaches/slicerCache9.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pivotCacheDefinition" Target="pivotCache/pivotCacheDefinition4.xml"/><Relationship Id="rId17" Type="http://schemas.microsoft.com/office/2007/relationships/slicerCache" Target="slicerCaches/slicerCache5.xml"/><Relationship Id="rId25" Type="http://schemas.openxmlformats.org/officeDocument/2006/relationships/sheetMetadata" Target="metadata.xml"/><Relationship Id="rId33" Type="http://schemas.microsoft.com/office/2017/06/relationships/rdRichValueTypes" Target="richData/rdRichValueTypes.xml"/><Relationship Id="rId2" Type="http://schemas.openxmlformats.org/officeDocument/2006/relationships/worksheet" Target="worksheets/sheet2.xml"/><Relationship Id="rId16" Type="http://schemas.microsoft.com/office/2007/relationships/slicerCache" Target="slicerCaches/slicerCache4.xml"/><Relationship Id="rId20" Type="http://schemas.microsoft.com/office/2007/relationships/slicerCache" Target="slicerCaches/slicerCache8.xml"/><Relationship Id="rId29" Type="http://schemas.microsoft.com/office/2017/06/relationships/rdArray" Target="richData/rdarray.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24" Type="http://schemas.openxmlformats.org/officeDocument/2006/relationships/sharedStrings" Target="sharedStrings.xml"/><Relationship Id="rId32" Type="http://schemas.microsoft.com/office/2017/06/relationships/rdSupportingPropertyBag" Target="richData/rdsupportingpropertybag.xml"/><Relationship Id="rId5" Type="http://schemas.openxmlformats.org/officeDocument/2006/relationships/worksheet" Target="worksheets/sheet5.xml"/><Relationship Id="rId15" Type="http://schemas.microsoft.com/office/2007/relationships/slicerCache" Target="slicerCaches/slicerCache3.xml"/><Relationship Id="rId23" Type="http://schemas.openxmlformats.org/officeDocument/2006/relationships/styles" Target="styles.xml"/><Relationship Id="rId28" Type="http://schemas.microsoft.com/office/2017/06/relationships/rdRichValueStructure" Target="richData/rdrichvaluestructure.xml"/><Relationship Id="rId10" Type="http://schemas.openxmlformats.org/officeDocument/2006/relationships/pivotCacheDefinition" Target="pivotCache/pivotCacheDefinition2.xml"/><Relationship Id="rId19" Type="http://schemas.microsoft.com/office/2007/relationships/slicerCache" Target="slicerCaches/slicerCache7.xml"/><Relationship Id="rId31" Type="http://schemas.microsoft.com/office/2017/06/relationships/rdSupportingPropertyBagStructure" Target="richData/rdsupportingpropertybagstructure.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2.xml"/><Relationship Id="rId22" Type="http://schemas.openxmlformats.org/officeDocument/2006/relationships/theme" Target="theme/theme1.xml"/><Relationship Id="rId27" Type="http://schemas.microsoft.com/office/2017/06/relationships/rdRichValue" Target="richData/rdrichvalue.xml"/><Relationship Id="rId30" Type="http://schemas.microsoft.com/office/2017/06/relationships/richStyles" Target="richData/richStyles.xml"/><Relationship Id="rId35" Type="http://schemas.microsoft.com/office/2006/relationships/vbaProject" Target="vbaProject.bin"/><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[AKSHATHA_4314(DAY10).xlsm]Pivot_table!PivotTable5</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Pivot_table!$R$63</c:f>
              <c:strCache>
                <c:ptCount val="1"/>
                <c:pt idx="0">
                  <c:v>Total</c:v>
                </c:pt>
              </c:strCache>
            </c:strRef>
          </c:tx>
          <c:spPr>
            <a:solidFill>
              <a:schemeClr val="accent1"/>
            </a:solidFill>
            <a:ln>
              <a:noFill/>
            </a:ln>
            <a:effectLst/>
          </c:spPr>
          <c:invertIfNegative val="0"/>
          <c:cat>
            <c:multiLvlStrRef>
              <c:f>Pivot_table!$Q$64:$Q$124</c:f>
              <c:multiLvlStrCache>
                <c:ptCount val="20"/>
                <c:lvl>
                  <c:pt idx="0">
                    <c:v>Us</c:v>
                  </c:pt>
                  <c:pt idx="1">
                    <c:v>India</c:v>
                  </c:pt>
                  <c:pt idx="2">
                    <c:v>India</c:v>
                  </c:pt>
                  <c:pt idx="3">
                    <c:v>Vietnam</c:v>
                  </c:pt>
                  <c:pt idx="4">
                    <c:v>China</c:v>
                  </c:pt>
                  <c:pt idx="5">
                    <c:v>Vietnam</c:v>
                  </c:pt>
                  <c:pt idx="6">
                    <c:v>Thailand</c:v>
                  </c:pt>
                  <c:pt idx="7">
                    <c:v>Thailand</c:v>
                  </c:pt>
                  <c:pt idx="8">
                    <c:v>Us</c:v>
                  </c:pt>
                  <c:pt idx="9">
                    <c:v>Us</c:v>
                  </c:pt>
                  <c:pt idx="10">
                    <c:v>Uae</c:v>
                  </c:pt>
                  <c:pt idx="11">
                    <c:v>Uae</c:v>
                  </c:pt>
                  <c:pt idx="12">
                    <c:v>Uae</c:v>
                  </c:pt>
                  <c:pt idx="13">
                    <c:v>India</c:v>
                  </c:pt>
                  <c:pt idx="14">
                    <c:v>Vietnam</c:v>
                  </c:pt>
                  <c:pt idx="15">
                    <c:v>Thailand</c:v>
                  </c:pt>
                  <c:pt idx="16">
                    <c:v>Us</c:v>
                  </c:pt>
                  <c:pt idx="17">
                    <c:v>Uae</c:v>
                  </c:pt>
                  <c:pt idx="18">
                    <c:v>China</c:v>
                  </c:pt>
                  <c:pt idx="19">
                    <c:v>India</c:v>
                  </c:pt>
                </c:lvl>
                <c:lvl>
                  <c:pt idx="0">
                    <c:v>762.10M</c:v>
                  </c:pt>
                  <c:pt idx="1">
                    <c:v>330.77M</c:v>
                  </c:pt>
                  <c:pt idx="2">
                    <c:v>445.28M</c:v>
                  </c:pt>
                  <c:pt idx="3">
                    <c:v>363.14M</c:v>
                  </c:pt>
                  <c:pt idx="4">
                    <c:v>334.33M</c:v>
                  </c:pt>
                  <c:pt idx="5">
                    <c:v>317.81M</c:v>
                  </c:pt>
                  <c:pt idx="6">
                    <c:v>238.04M</c:v>
                  </c:pt>
                  <c:pt idx="7">
                    <c:v>361.20M</c:v>
                  </c:pt>
                  <c:pt idx="8">
                    <c:v>489.69M</c:v>
                  </c:pt>
                  <c:pt idx="9">
                    <c:v>259.04M</c:v>
                  </c:pt>
                  <c:pt idx="10">
                    <c:v>280.47M</c:v>
                  </c:pt>
                  <c:pt idx="11">
                    <c:v>291.68M</c:v>
                  </c:pt>
                  <c:pt idx="12">
                    <c:v>320.35M</c:v>
                  </c:pt>
                  <c:pt idx="13">
                    <c:v>537.58M</c:v>
                  </c:pt>
                  <c:pt idx="14">
                    <c:v>231.60M</c:v>
                  </c:pt>
                  <c:pt idx="15">
                    <c:v>293.46M</c:v>
                  </c:pt>
                  <c:pt idx="16">
                    <c:v>348.32M</c:v>
                  </c:pt>
                  <c:pt idx="17">
                    <c:v>583.09M</c:v>
                  </c:pt>
                  <c:pt idx="18">
                    <c:v>356.02M</c:v>
                  </c:pt>
                  <c:pt idx="19">
                    <c:v>92.28M</c:v>
                  </c:pt>
                </c:lvl>
                <c:lvl>
                  <c:pt idx="0">
                    <c:v>1-Aug-23</c:v>
                  </c:pt>
                  <c:pt idx="1">
                    <c:v>2-Aug-23</c:v>
                  </c:pt>
                  <c:pt idx="2">
                    <c:v>3-Aug-23</c:v>
                  </c:pt>
                  <c:pt idx="3">
                    <c:v>4-Aug-23</c:v>
                  </c:pt>
                  <c:pt idx="4">
                    <c:v>7-Aug-23</c:v>
                  </c:pt>
                  <c:pt idx="5">
                    <c:v>8-Aug-23</c:v>
                  </c:pt>
                  <c:pt idx="6">
                    <c:v>9-Aug-23</c:v>
                  </c:pt>
                  <c:pt idx="7">
                    <c:v>10-Aug-23</c:v>
                  </c:pt>
                  <c:pt idx="8">
                    <c:v>11-Aug-23</c:v>
                  </c:pt>
                  <c:pt idx="9">
                    <c:v>14-Aug-23</c:v>
                  </c:pt>
                  <c:pt idx="10">
                    <c:v>15-Aug-23</c:v>
                  </c:pt>
                  <c:pt idx="11">
                    <c:v>16-Aug-23</c:v>
                  </c:pt>
                  <c:pt idx="12">
                    <c:v>17-Aug-23</c:v>
                  </c:pt>
                  <c:pt idx="13">
                    <c:v>18-Aug-23</c:v>
                  </c:pt>
                  <c:pt idx="14">
                    <c:v>21-Aug-23</c:v>
                  </c:pt>
                  <c:pt idx="15">
                    <c:v>22-Aug-23</c:v>
                  </c:pt>
                  <c:pt idx="16">
                    <c:v>23-Aug-23</c:v>
                  </c:pt>
                  <c:pt idx="17">
                    <c:v>24-Aug-23</c:v>
                  </c:pt>
                  <c:pt idx="18">
                    <c:v>25-Aug-23</c:v>
                  </c:pt>
                  <c:pt idx="19">
                    <c:v>28-Aug-23</c:v>
                  </c:pt>
                </c:lvl>
              </c:multiLvlStrCache>
            </c:multiLvlStrRef>
          </c:cat>
          <c:val>
            <c:numRef>
              <c:f>Pivot_table!$R$64:$R$124</c:f>
              <c:numCache>
                <c:formatCode>General</c:formatCode>
                <c:ptCount val="20"/>
                <c:pt idx="0">
                  <c:v>64337.3</c:v>
                </c:pt>
                <c:pt idx="1">
                  <c:v>64193.38</c:v>
                </c:pt>
                <c:pt idx="2">
                  <c:v>64267.360000000001</c:v>
                </c:pt>
                <c:pt idx="3">
                  <c:v>65263.06</c:v>
                </c:pt>
                <c:pt idx="4">
                  <c:v>65198.080000000002</c:v>
                </c:pt>
                <c:pt idx="5">
                  <c:v>65336.71</c:v>
                </c:pt>
                <c:pt idx="6">
                  <c:v>65385.45</c:v>
                </c:pt>
                <c:pt idx="7">
                  <c:v>64167.39</c:v>
                </c:pt>
                <c:pt idx="8">
                  <c:v>65204.82</c:v>
                </c:pt>
                <c:pt idx="9">
                  <c:v>65325.37</c:v>
                </c:pt>
                <c:pt idx="10">
                  <c:v>65023.8</c:v>
                </c:pt>
                <c:pt idx="11">
                  <c:v>64928.98</c:v>
                </c:pt>
                <c:pt idx="12">
                  <c:v>64625.279999999999</c:v>
                </c:pt>
                <c:pt idx="13">
                  <c:v>64469.75</c:v>
                </c:pt>
                <c:pt idx="14">
                  <c:v>64721.09</c:v>
                </c:pt>
                <c:pt idx="15">
                  <c:v>65198.74</c:v>
                </c:pt>
                <c:pt idx="16">
                  <c:v>65488.67</c:v>
                </c:pt>
                <c:pt idx="17">
                  <c:v>65493.1</c:v>
                </c:pt>
                <c:pt idx="18">
                  <c:v>65401.82</c:v>
                </c:pt>
                <c:pt idx="19">
                  <c:v>65558.91</c:v>
                </c:pt>
              </c:numCache>
            </c:numRef>
          </c:val>
          <c:extLst>
            <c:ext xmlns:c16="http://schemas.microsoft.com/office/drawing/2014/chart" uri="{C3380CC4-5D6E-409C-BE32-E72D297353CC}">
              <c16:uniqueId val="{00000003-AD42-4CB2-A04F-46854DAA0E86}"/>
            </c:ext>
          </c:extLst>
        </c:ser>
        <c:dLbls>
          <c:showLegendKey val="0"/>
          <c:showVal val="0"/>
          <c:showCatName val="0"/>
          <c:showSerName val="0"/>
          <c:showPercent val="0"/>
          <c:showBubbleSize val="0"/>
        </c:dLbls>
        <c:gapWidth val="219"/>
        <c:overlap val="-27"/>
        <c:axId val="1604120751"/>
        <c:axId val="1273623551"/>
      </c:barChart>
      <c:catAx>
        <c:axId val="1604120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3623551"/>
        <c:crosses val="autoZero"/>
        <c:auto val="1"/>
        <c:lblAlgn val="ctr"/>
        <c:lblOffset val="100"/>
        <c:noMultiLvlLbl val="0"/>
      </c:catAx>
      <c:valAx>
        <c:axId val="12736235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1207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[AKSHATHA_4314(DAY10).xlsm]Pivot_table and chart!PivotTable3</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 and chart'!$I$28</c:f>
              <c:strCache>
                <c:ptCount val="1"/>
                <c:pt idx="0">
                  <c:v>Max of Income</c:v>
                </c:pt>
              </c:strCache>
            </c:strRef>
          </c:tx>
          <c:spPr>
            <a:solidFill>
              <a:schemeClr val="accent1"/>
            </a:solidFill>
            <a:ln>
              <a:noFill/>
            </a:ln>
            <a:effectLst/>
          </c:spPr>
          <c:invertIfNegative val="0"/>
          <c:cat>
            <c:multiLvlStrRef>
              <c:f>'Pivot_table and chart'!$H$29:$H$45</c:f>
              <c:multiLvlStrCache>
                <c:ptCount val="11"/>
                <c:lvl>
                  <c:pt idx="0">
                    <c:v>Anderson Reina</c:v>
                  </c:pt>
                  <c:pt idx="1">
                    <c:v>Navors Brian</c:v>
                  </c:pt>
                  <c:pt idx="2">
                    <c:v>Luna Winter</c:v>
                  </c:pt>
                  <c:pt idx="3">
                    <c:v>Schmidt Robert</c:v>
                  </c:pt>
                  <c:pt idx="4">
                    <c:v>George </c:v>
                  </c:pt>
                  <c:pt idx="5">
                    <c:v>Patel KishanKumar</c:v>
                  </c:pt>
                  <c:pt idx="6">
                    <c:v>Buruin Christy </c:v>
                  </c:pt>
                  <c:pt idx="7">
                    <c:v>Rutland Daniel</c:v>
                  </c:pt>
                  <c:pt idx="8">
                    <c:v>Clove </c:v>
                  </c:pt>
                  <c:pt idx="9">
                    <c:v>Rominger William </c:v>
                  </c:pt>
                  <c:pt idx="10">
                    <c:v>Sam Von</c:v>
                  </c:pt>
                </c:lvl>
                <c:lvl>
                  <c:pt idx="0">
                    <c:v>Cat</c:v>
                  </c:pt>
                  <c:pt idx="2">
                    <c:v>Cheetah</c:v>
                  </c:pt>
                  <c:pt idx="4">
                    <c:v>Dog</c:v>
                  </c:pt>
                  <c:pt idx="6">
                    <c:v>Tiger</c:v>
                  </c:pt>
                  <c:pt idx="8">
                    <c:v>Wolf</c:v>
                  </c:pt>
                </c:lvl>
              </c:multiLvlStrCache>
            </c:multiLvlStrRef>
          </c:cat>
          <c:val>
            <c:numRef>
              <c:f>'Pivot_table and chart'!$I$29:$I$45</c:f>
              <c:numCache>
                <c:formatCode>0.00</c:formatCode>
                <c:ptCount val="11"/>
                <c:pt idx="0">
                  <c:v>8000000</c:v>
                </c:pt>
                <c:pt idx="1">
                  <c:v>1000000</c:v>
                </c:pt>
                <c:pt idx="2">
                  <c:v>13000000</c:v>
                </c:pt>
                <c:pt idx="3">
                  <c:v>5000000</c:v>
                </c:pt>
                <c:pt idx="4">
                  <c:v>14000000</c:v>
                </c:pt>
                <c:pt idx="5">
                  <c:v>2000000</c:v>
                </c:pt>
                <c:pt idx="6">
                  <c:v>9000000</c:v>
                </c:pt>
                <c:pt idx="7">
                  <c:v>4000000</c:v>
                </c:pt>
                <c:pt idx="8">
                  <c:v>15000000</c:v>
                </c:pt>
                <c:pt idx="9">
                  <c:v>3000000</c:v>
                </c:pt>
                <c:pt idx="10">
                  <c:v>12000000</c:v>
                </c:pt>
              </c:numCache>
            </c:numRef>
          </c:val>
          <c:extLst>
            <c:ext xmlns:c16="http://schemas.microsoft.com/office/drawing/2014/chart" uri="{C3380CC4-5D6E-409C-BE32-E72D297353CC}">
              <c16:uniqueId val="{00000027-3455-48E1-873C-07FE3C8198CC}"/>
            </c:ext>
          </c:extLst>
        </c:ser>
        <c:ser>
          <c:idx val="1"/>
          <c:order val="1"/>
          <c:tx>
            <c:strRef>
              <c:f>'Pivot_table and chart'!$J$28</c:f>
              <c:strCache>
                <c:ptCount val="1"/>
                <c:pt idx="0">
                  <c:v>Min of Individual deadline</c:v>
                </c:pt>
              </c:strCache>
            </c:strRef>
          </c:tx>
          <c:spPr>
            <a:solidFill>
              <a:schemeClr val="accent2"/>
            </a:solidFill>
            <a:ln>
              <a:noFill/>
            </a:ln>
            <a:effectLst/>
          </c:spPr>
          <c:invertIfNegative val="0"/>
          <c:cat>
            <c:multiLvlStrRef>
              <c:f>'Pivot_table and chart'!$H$29:$H$45</c:f>
              <c:multiLvlStrCache>
                <c:ptCount val="11"/>
                <c:lvl>
                  <c:pt idx="0">
                    <c:v>Anderson Reina</c:v>
                  </c:pt>
                  <c:pt idx="1">
                    <c:v>Navors Brian</c:v>
                  </c:pt>
                  <c:pt idx="2">
                    <c:v>Luna Winter</c:v>
                  </c:pt>
                  <c:pt idx="3">
                    <c:v>Schmidt Robert</c:v>
                  </c:pt>
                  <c:pt idx="4">
                    <c:v>George </c:v>
                  </c:pt>
                  <c:pt idx="5">
                    <c:v>Patel KishanKumar</c:v>
                  </c:pt>
                  <c:pt idx="6">
                    <c:v>Buruin Christy </c:v>
                  </c:pt>
                  <c:pt idx="7">
                    <c:v>Rutland Daniel</c:v>
                  </c:pt>
                  <c:pt idx="8">
                    <c:v>Clove </c:v>
                  </c:pt>
                  <c:pt idx="9">
                    <c:v>Rominger William </c:v>
                  </c:pt>
                  <c:pt idx="10">
                    <c:v>Sam Von</c:v>
                  </c:pt>
                </c:lvl>
                <c:lvl>
                  <c:pt idx="0">
                    <c:v>Cat</c:v>
                  </c:pt>
                  <c:pt idx="2">
                    <c:v>Cheetah</c:v>
                  </c:pt>
                  <c:pt idx="4">
                    <c:v>Dog</c:v>
                  </c:pt>
                  <c:pt idx="6">
                    <c:v>Tiger</c:v>
                  </c:pt>
                  <c:pt idx="8">
                    <c:v>Wolf</c:v>
                  </c:pt>
                </c:lvl>
              </c:multiLvlStrCache>
            </c:multiLvlStrRef>
          </c:cat>
          <c:val>
            <c:numRef>
              <c:f>'Pivot_table and chart'!$J$29:$J$45</c:f>
              <c:numCache>
                <c:formatCode>m/d/yyyy</c:formatCode>
                <c:ptCount val="11"/>
                <c:pt idx="0">
                  <c:v>45014</c:v>
                </c:pt>
                <c:pt idx="1">
                  <c:v>45075</c:v>
                </c:pt>
                <c:pt idx="2">
                  <c:v>45143</c:v>
                </c:pt>
                <c:pt idx="3">
                  <c:v>45235</c:v>
                </c:pt>
                <c:pt idx="4">
                  <c:v>45015</c:v>
                </c:pt>
                <c:pt idx="5">
                  <c:v>45107</c:v>
                </c:pt>
                <c:pt idx="6">
                  <c:v>45171</c:v>
                </c:pt>
                <c:pt idx="7">
                  <c:v>45201</c:v>
                </c:pt>
                <c:pt idx="8">
                  <c:v>45047</c:v>
                </c:pt>
                <c:pt idx="9">
                  <c:v>45170</c:v>
                </c:pt>
                <c:pt idx="10">
                  <c:v>45261</c:v>
                </c:pt>
              </c:numCache>
            </c:numRef>
          </c:val>
          <c:extLst>
            <c:ext xmlns:c16="http://schemas.microsoft.com/office/drawing/2014/chart" uri="{C3380CC4-5D6E-409C-BE32-E72D297353CC}">
              <c16:uniqueId val="{00000036-3455-48E1-873C-07FE3C8198CC}"/>
            </c:ext>
          </c:extLst>
        </c:ser>
        <c:ser>
          <c:idx val="2"/>
          <c:order val="2"/>
          <c:tx>
            <c:strRef>
              <c:f>'Pivot_table and chart'!$K$28</c:f>
              <c:strCache>
                <c:ptCount val="1"/>
                <c:pt idx="0">
                  <c:v>Max of Age</c:v>
                </c:pt>
              </c:strCache>
            </c:strRef>
          </c:tx>
          <c:spPr>
            <a:solidFill>
              <a:schemeClr val="accent3"/>
            </a:solidFill>
            <a:ln>
              <a:noFill/>
            </a:ln>
            <a:effectLst/>
          </c:spPr>
          <c:invertIfNegative val="0"/>
          <c:cat>
            <c:multiLvlStrRef>
              <c:f>'Pivot_table and chart'!$H$29:$H$45</c:f>
              <c:multiLvlStrCache>
                <c:ptCount val="11"/>
                <c:lvl>
                  <c:pt idx="0">
                    <c:v>Anderson Reina</c:v>
                  </c:pt>
                  <c:pt idx="1">
                    <c:v>Navors Brian</c:v>
                  </c:pt>
                  <c:pt idx="2">
                    <c:v>Luna Winter</c:v>
                  </c:pt>
                  <c:pt idx="3">
                    <c:v>Schmidt Robert</c:v>
                  </c:pt>
                  <c:pt idx="4">
                    <c:v>George </c:v>
                  </c:pt>
                  <c:pt idx="5">
                    <c:v>Patel KishanKumar</c:v>
                  </c:pt>
                  <c:pt idx="6">
                    <c:v>Buruin Christy </c:v>
                  </c:pt>
                  <c:pt idx="7">
                    <c:v>Rutland Daniel</c:v>
                  </c:pt>
                  <c:pt idx="8">
                    <c:v>Clove </c:v>
                  </c:pt>
                  <c:pt idx="9">
                    <c:v>Rominger William </c:v>
                  </c:pt>
                  <c:pt idx="10">
                    <c:v>Sam Von</c:v>
                  </c:pt>
                </c:lvl>
                <c:lvl>
                  <c:pt idx="0">
                    <c:v>Cat</c:v>
                  </c:pt>
                  <c:pt idx="2">
                    <c:v>Cheetah</c:v>
                  </c:pt>
                  <c:pt idx="4">
                    <c:v>Dog</c:v>
                  </c:pt>
                  <c:pt idx="6">
                    <c:v>Tiger</c:v>
                  </c:pt>
                  <c:pt idx="8">
                    <c:v>Wolf</c:v>
                  </c:pt>
                </c:lvl>
              </c:multiLvlStrCache>
            </c:multiLvlStrRef>
          </c:cat>
          <c:val>
            <c:numRef>
              <c:f>'Pivot_table and chart'!$K$29:$K$45</c:f>
              <c:numCache>
                <c:formatCode>General</c:formatCode>
                <c:ptCount val="11"/>
                <c:pt idx="0">
                  <c:v>34</c:v>
                </c:pt>
                <c:pt idx="1">
                  <c:v>20</c:v>
                </c:pt>
                <c:pt idx="2">
                  <c:v>26</c:v>
                </c:pt>
                <c:pt idx="3">
                  <c:v>28</c:v>
                </c:pt>
                <c:pt idx="4">
                  <c:v>25</c:v>
                </c:pt>
                <c:pt idx="5">
                  <c:v>24</c:v>
                </c:pt>
                <c:pt idx="6">
                  <c:v>38</c:v>
                </c:pt>
                <c:pt idx="7">
                  <c:v>23</c:v>
                </c:pt>
                <c:pt idx="8">
                  <c:v>29</c:v>
                </c:pt>
                <c:pt idx="9">
                  <c:v>25</c:v>
                </c:pt>
                <c:pt idx="10">
                  <c:v>37</c:v>
                </c:pt>
              </c:numCache>
            </c:numRef>
          </c:val>
          <c:extLst>
            <c:ext xmlns:c16="http://schemas.microsoft.com/office/drawing/2014/chart" uri="{C3380CC4-5D6E-409C-BE32-E72D297353CC}">
              <c16:uniqueId val="{0000003B-3455-48E1-873C-07FE3C8198CC}"/>
            </c:ext>
          </c:extLst>
        </c:ser>
        <c:dLbls>
          <c:showLegendKey val="0"/>
          <c:showVal val="0"/>
          <c:showCatName val="0"/>
          <c:showSerName val="0"/>
          <c:showPercent val="0"/>
          <c:showBubbleSize val="0"/>
        </c:dLbls>
        <c:gapWidth val="219"/>
        <c:overlap val="-27"/>
        <c:axId val="2001467088"/>
        <c:axId val="1348769344"/>
      </c:barChart>
      <c:catAx>
        <c:axId val="2001467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8769344"/>
        <c:crosses val="autoZero"/>
        <c:auto val="1"/>
        <c:lblAlgn val="ctr"/>
        <c:lblOffset val="100"/>
        <c:noMultiLvlLbl val="0"/>
      </c:catAx>
      <c:valAx>
        <c:axId val="13487693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14670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[AKSHATHA_4314(DAY10).xlsm]Pivot_table and chart!PivotTable3</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'Pivot_table and chart'!$I$28</c:f>
              <c:strCache>
                <c:ptCount val="1"/>
                <c:pt idx="0">
                  <c:v>Max of Income</c:v>
                </c:pt>
              </c:strCache>
            </c:strRef>
          </c:tx>
          <c:spPr>
            <a:solidFill>
              <a:schemeClr val="accent1"/>
            </a:solidFill>
            <a:ln>
              <a:noFill/>
            </a:ln>
            <a:effectLst/>
          </c:spPr>
          <c:invertIfNegative val="0"/>
          <c:cat>
            <c:multiLvlStrRef>
              <c:f>'Pivot_table and chart'!$H$29:$H$45</c:f>
              <c:multiLvlStrCache>
                <c:ptCount val="11"/>
                <c:lvl>
                  <c:pt idx="0">
                    <c:v>Anderson Reina</c:v>
                  </c:pt>
                  <c:pt idx="1">
                    <c:v>Navors Brian</c:v>
                  </c:pt>
                  <c:pt idx="2">
                    <c:v>Luna Winter</c:v>
                  </c:pt>
                  <c:pt idx="3">
                    <c:v>Schmidt Robert</c:v>
                  </c:pt>
                  <c:pt idx="4">
                    <c:v>George </c:v>
                  </c:pt>
                  <c:pt idx="5">
                    <c:v>Patel KishanKumar</c:v>
                  </c:pt>
                  <c:pt idx="6">
                    <c:v>Buruin Christy </c:v>
                  </c:pt>
                  <c:pt idx="7">
                    <c:v>Rutland Daniel</c:v>
                  </c:pt>
                  <c:pt idx="8">
                    <c:v>Clove </c:v>
                  </c:pt>
                  <c:pt idx="9">
                    <c:v>Rominger William </c:v>
                  </c:pt>
                  <c:pt idx="10">
                    <c:v>Sam Von</c:v>
                  </c:pt>
                </c:lvl>
                <c:lvl>
                  <c:pt idx="0">
                    <c:v>Cat</c:v>
                  </c:pt>
                  <c:pt idx="2">
                    <c:v>Cheetah</c:v>
                  </c:pt>
                  <c:pt idx="4">
                    <c:v>Dog</c:v>
                  </c:pt>
                  <c:pt idx="6">
                    <c:v>Tiger</c:v>
                  </c:pt>
                  <c:pt idx="8">
                    <c:v>Wolf</c:v>
                  </c:pt>
                </c:lvl>
              </c:multiLvlStrCache>
            </c:multiLvlStrRef>
          </c:cat>
          <c:val>
            <c:numRef>
              <c:f>'Pivot_table and chart'!$I$29:$I$45</c:f>
              <c:numCache>
                <c:formatCode>0.00</c:formatCode>
                <c:ptCount val="11"/>
                <c:pt idx="0">
                  <c:v>8000000</c:v>
                </c:pt>
                <c:pt idx="1">
                  <c:v>1000000</c:v>
                </c:pt>
                <c:pt idx="2">
                  <c:v>13000000</c:v>
                </c:pt>
                <c:pt idx="3">
                  <c:v>5000000</c:v>
                </c:pt>
                <c:pt idx="4">
                  <c:v>14000000</c:v>
                </c:pt>
                <c:pt idx="5">
                  <c:v>2000000</c:v>
                </c:pt>
                <c:pt idx="6">
                  <c:v>9000000</c:v>
                </c:pt>
                <c:pt idx="7">
                  <c:v>4000000</c:v>
                </c:pt>
                <c:pt idx="8">
                  <c:v>15000000</c:v>
                </c:pt>
                <c:pt idx="9">
                  <c:v>3000000</c:v>
                </c:pt>
                <c:pt idx="10">
                  <c:v>12000000</c:v>
                </c:pt>
              </c:numCache>
            </c:numRef>
          </c:val>
          <c:extLst>
            <c:ext xmlns:c16="http://schemas.microsoft.com/office/drawing/2014/chart" uri="{C3380CC4-5D6E-409C-BE32-E72D297353CC}">
              <c16:uniqueId val="{00000000-1475-49D7-BD34-86EB74EBAB96}"/>
            </c:ext>
          </c:extLst>
        </c:ser>
        <c:ser>
          <c:idx val="1"/>
          <c:order val="1"/>
          <c:tx>
            <c:strRef>
              <c:f>'Pivot_table and chart'!$J$28</c:f>
              <c:strCache>
                <c:ptCount val="1"/>
                <c:pt idx="0">
                  <c:v>Min of Individual deadline</c:v>
                </c:pt>
              </c:strCache>
            </c:strRef>
          </c:tx>
          <c:spPr>
            <a:solidFill>
              <a:schemeClr val="accent2"/>
            </a:solidFill>
            <a:ln>
              <a:noFill/>
            </a:ln>
            <a:effectLst/>
          </c:spPr>
          <c:invertIfNegative val="0"/>
          <c:cat>
            <c:multiLvlStrRef>
              <c:f>'Pivot_table and chart'!$H$29:$H$45</c:f>
              <c:multiLvlStrCache>
                <c:ptCount val="11"/>
                <c:lvl>
                  <c:pt idx="0">
                    <c:v>Anderson Reina</c:v>
                  </c:pt>
                  <c:pt idx="1">
                    <c:v>Navors Brian</c:v>
                  </c:pt>
                  <c:pt idx="2">
                    <c:v>Luna Winter</c:v>
                  </c:pt>
                  <c:pt idx="3">
                    <c:v>Schmidt Robert</c:v>
                  </c:pt>
                  <c:pt idx="4">
                    <c:v>George </c:v>
                  </c:pt>
                  <c:pt idx="5">
                    <c:v>Patel KishanKumar</c:v>
                  </c:pt>
                  <c:pt idx="6">
                    <c:v>Buruin Christy </c:v>
                  </c:pt>
                  <c:pt idx="7">
                    <c:v>Rutland Daniel</c:v>
                  </c:pt>
                  <c:pt idx="8">
                    <c:v>Clove </c:v>
                  </c:pt>
                  <c:pt idx="9">
                    <c:v>Rominger William </c:v>
                  </c:pt>
                  <c:pt idx="10">
                    <c:v>Sam Von</c:v>
                  </c:pt>
                </c:lvl>
                <c:lvl>
                  <c:pt idx="0">
                    <c:v>Cat</c:v>
                  </c:pt>
                  <c:pt idx="2">
                    <c:v>Cheetah</c:v>
                  </c:pt>
                  <c:pt idx="4">
                    <c:v>Dog</c:v>
                  </c:pt>
                  <c:pt idx="6">
                    <c:v>Tiger</c:v>
                  </c:pt>
                  <c:pt idx="8">
                    <c:v>Wolf</c:v>
                  </c:pt>
                </c:lvl>
              </c:multiLvlStrCache>
            </c:multiLvlStrRef>
          </c:cat>
          <c:val>
            <c:numRef>
              <c:f>'Pivot_table and chart'!$J$29:$J$45</c:f>
              <c:numCache>
                <c:formatCode>m/d/yyyy</c:formatCode>
                <c:ptCount val="11"/>
                <c:pt idx="0">
                  <c:v>45014</c:v>
                </c:pt>
                <c:pt idx="1">
                  <c:v>45075</c:v>
                </c:pt>
                <c:pt idx="2">
                  <c:v>45143</c:v>
                </c:pt>
                <c:pt idx="3">
                  <c:v>45235</c:v>
                </c:pt>
                <c:pt idx="4">
                  <c:v>45015</c:v>
                </c:pt>
                <c:pt idx="5">
                  <c:v>45107</c:v>
                </c:pt>
                <c:pt idx="6">
                  <c:v>45171</c:v>
                </c:pt>
                <c:pt idx="7">
                  <c:v>45201</c:v>
                </c:pt>
                <c:pt idx="8">
                  <c:v>45047</c:v>
                </c:pt>
                <c:pt idx="9">
                  <c:v>45170</c:v>
                </c:pt>
                <c:pt idx="10">
                  <c:v>45261</c:v>
                </c:pt>
              </c:numCache>
            </c:numRef>
          </c:val>
          <c:extLst>
            <c:ext xmlns:c16="http://schemas.microsoft.com/office/drawing/2014/chart" uri="{C3380CC4-5D6E-409C-BE32-E72D297353CC}">
              <c16:uniqueId val="{00000001-1475-49D7-BD34-86EB74EBAB96}"/>
            </c:ext>
          </c:extLst>
        </c:ser>
        <c:ser>
          <c:idx val="2"/>
          <c:order val="2"/>
          <c:tx>
            <c:strRef>
              <c:f>'Pivot_table and chart'!$K$28</c:f>
              <c:strCache>
                <c:ptCount val="1"/>
                <c:pt idx="0">
                  <c:v>Max of Age</c:v>
                </c:pt>
              </c:strCache>
            </c:strRef>
          </c:tx>
          <c:spPr>
            <a:solidFill>
              <a:schemeClr val="accent3"/>
            </a:solidFill>
            <a:ln>
              <a:noFill/>
            </a:ln>
            <a:effectLst/>
          </c:spPr>
          <c:invertIfNegative val="0"/>
          <c:cat>
            <c:multiLvlStrRef>
              <c:f>'Pivot_table and chart'!$H$29:$H$45</c:f>
              <c:multiLvlStrCache>
                <c:ptCount val="11"/>
                <c:lvl>
                  <c:pt idx="0">
                    <c:v>Anderson Reina</c:v>
                  </c:pt>
                  <c:pt idx="1">
                    <c:v>Navors Brian</c:v>
                  </c:pt>
                  <c:pt idx="2">
                    <c:v>Luna Winter</c:v>
                  </c:pt>
                  <c:pt idx="3">
                    <c:v>Schmidt Robert</c:v>
                  </c:pt>
                  <c:pt idx="4">
                    <c:v>George </c:v>
                  </c:pt>
                  <c:pt idx="5">
                    <c:v>Patel KishanKumar</c:v>
                  </c:pt>
                  <c:pt idx="6">
                    <c:v>Buruin Christy </c:v>
                  </c:pt>
                  <c:pt idx="7">
                    <c:v>Rutland Daniel</c:v>
                  </c:pt>
                  <c:pt idx="8">
                    <c:v>Clove </c:v>
                  </c:pt>
                  <c:pt idx="9">
                    <c:v>Rominger William </c:v>
                  </c:pt>
                  <c:pt idx="10">
                    <c:v>Sam Von</c:v>
                  </c:pt>
                </c:lvl>
                <c:lvl>
                  <c:pt idx="0">
                    <c:v>Cat</c:v>
                  </c:pt>
                  <c:pt idx="2">
                    <c:v>Cheetah</c:v>
                  </c:pt>
                  <c:pt idx="4">
                    <c:v>Dog</c:v>
                  </c:pt>
                  <c:pt idx="6">
                    <c:v>Tiger</c:v>
                  </c:pt>
                  <c:pt idx="8">
                    <c:v>Wolf</c:v>
                  </c:pt>
                </c:lvl>
              </c:multiLvlStrCache>
            </c:multiLvlStrRef>
          </c:cat>
          <c:val>
            <c:numRef>
              <c:f>'Pivot_table and chart'!$K$29:$K$45</c:f>
              <c:numCache>
                <c:formatCode>General</c:formatCode>
                <c:ptCount val="11"/>
                <c:pt idx="0">
                  <c:v>34</c:v>
                </c:pt>
                <c:pt idx="1">
                  <c:v>20</c:v>
                </c:pt>
                <c:pt idx="2">
                  <c:v>26</c:v>
                </c:pt>
                <c:pt idx="3">
                  <c:v>28</c:v>
                </c:pt>
                <c:pt idx="4">
                  <c:v>25</c:v>
                </c:pt>
                <c:pt idx="5">
                  <c:v>24</c:v>
                </c:pt>
                <c:pt idx="6">
                  <c:v>38</c:v>
                </c:pt>
                <c:pt idx="7">
                  <c:v>23</c:v>
                </c:pt>
                <c:pt idx="8">
                  <c:v>29</c:v>
                </c:pt>
                <c:pt idx="9">
                  <c:v>25</c:v>
                </c:pt>
                <c:pt idx="10">
                  <c:v>37</c:v>
                </c:pt>
              </c:numCache>
            </c:numRef>
          </c:val>
          <c:extLst>
            <c:ext xmlns:c16="http://schemas.microsoft.com/office/drawing/2014/chart" uri="{C3380CC4-5D6E-409C-BE32-E72D297353CC}">
              <c16:uniqueId val="{00000002-1475-49D7-BD34-86EB74EBAB96}"/>
            </c:ext>
          </c:extLst>
        </c:ser>
        <c:dLbls>
          <c:showLegendKey val="0"/>
          <c:showVal val="0"/>
          <c:showCatName val="0"/>
          <c:showSerName val="0"/>
          <c:showPercent val="0"/>
          <c:showBubbleSize val="0"/>
        </c:dLbls>
        <c:gapWidth val="182"/>
        <c:axId val="1367598320"/>
        <c:axId val="1376528880"/>
      </c:barChart>
      <c:catAx>
        <c:axId val="13675983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6528880"/>
        <c:crosses val="autoZero"/>
        <c:auto val="1"/>
        <c:lblAlgn val="ctr"/>
        <c:lblOffset val="100"/>
        <c:noMultiLvlLbl val="0"/>
      </c:catAx>
      <c:valAx>
        <c:axId val="1376528880"/>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75983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[AKSHATHA_4314(DAY10).xlsm]Pivot_table_grouping!PivotTable4</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Pivot_table_grouping!$B$3</c:f>
              <c:strCache>
                <c:ptCount val="1"/>
                <c:pt idx="0">
                  <c:v>Total</c:v>
                </c:pt>
              </c:strCache>
            </c:strRef>
          </c:tx>
          <c:spPr>
            <a:solidFill>
              <a:schemeClr val="accent1"/>
            </a:solidFill>
            <a:ln>
              <a:noFill/>
            </a:ln>
            <a:effectLst/>
          </c:spPr>
          <c:invertIfNegative val="0"/>
          <c:cat>
            <c:multiLvlStrRef>
              <c:f>Pivot_table_grouping!$A$4:$A$35</c:f>
              <c:multiLvlStrCache>
                <c:ptCount val="15"/>
                <c:lvl>
                  <c:pt idx="0">
                    <c:v>Anderson Reina</c:v>
                  </c:pt>
                  <c:pt idx="1">
                    <c:v>George </c:v>
                  </c:pt>
                  <c:pt idx="2">
                    <c:v>Clove </c:v>
                  </c:pt>
                  <c:pt idx="3">
                    <c:v>Navors Brian</c:v>
                  </c:pt>
                  <c:pt idx="4">
                    <c:v>Patel KishanKumar</c:v>
                  </c:pt>
                  <c:pt idx="5">
                    <c:v>Daniel Radcliffe</c:v>
                  </c:pt>
                  <c:pt idx="6">
                    <c:v>Luna Winter</c:v>
                  </c:pt>
                  <c:pt idx="7">
                    <c:v>Buruin Christy </c:v>
                  </c:pt>
                  <c:pt idx="8">
                    <c:v>Rominger William </c:v>
                  </c:pt>
                  <c:pt idx="9">
                    <c:v>Rutland Daniel</c:v>
                  </c:pt>
                  <c:pt idx="10">
                    <c:v>Schmidt Robert</c:v>
                  </c:pt>
                  <c:pt idx="11">
                    <c:v>Sam Von</c:v>
                  </c:pt>
                  <c:pt idx="12">
                    <c:v>Tjienda Prince</c:v>
                  </c:pt>
                  <c:pt idx="13">
                    <c:v>Venno Nathan</c:v>
                  </c:pt>
                  <c:pt idx="14">
                    <c:v>Heflin Viola</c:v>
                  </c:pt>
                </c:lvl>
                <c:lvl>
                  <c:pt idx="0">
                    <c:v>Mar</c:v>
                  </c:pt>
                  <c:pt idx="2">
                    <c:v>May</c:v>
                  </c:pt>
                  <c:pt idx="4">
                    <c:v>Jun</c:v>
                  </c:pt>
                  <c:pt idx="5">
                    <c:v>Aug</c:v>
                  </c:pt>
                  <c:pt idx="7">
                    <c:v>Sep</c:v>
                  </c:pt>
                  <c:pt idx="9">
                    <c:v>Oct</c:v>
                  </c:pt>
                  <c:pt idx="10">
                    <c:v>Nov</c:v>
                  </c:pt>
                  <c:pt idx="11">
                    <c:v>Dec</c:v>
                  </c:pt>
                  <c:pt idx="14">
                    <c:v>Feb</c:v>
                  </c:pt>
                </c:lvl>
                <c:lvl>
                  <c:pt idx="0">
                    <c:v>Qtr1</c:v>
                  </c:pt>
                  <c:pt idx="2">
                    <c:v>Qtr2</c:v>
                  </c:pt>
                  <c:pt idx="5">
                    <c:v>Qtr3</c:v>
                  </c:pt>
                  <c:pt idx="9">
                    <c:v>Qtr4</c:v>
                  </c:pt>
                  <c:pt idx="14">
                    <c:v>Qtr1</c:v>
                  </c:pt>
                </c:lvl>
                <c:lvl>
                  <c:pt idx="0">
                    <c:v>2023</c:v>
                  </c:pt>
                  <c:pt idx="14">
                    <c:v>2024</c:v>
                  </c:pt>
                </c:lvl>
              </c:multiLvlStrCache>
            </c:multiLvlStrRef>
          </c:cat>
          <c:val>
            <c:numRef>
              <c:f>Pivot_table_grouping!$B$4:$B$35</c:f>
              <c:numCache>
                <c:formatCode>0</c:formatCode>
                <c:ptCount val="15"/>
                <c:pt idx="0">
                  <c:v>34</c:v>
                </c:pt>
                <c:pt idx="1">
                  <c:v>25</c:v>
                </c:pt>
                <c:pt idx="2">
                  <c:v>29</c:v>
                </c:pt>
                <c:pt idx="3">
                  <c:v>20</c:v>
                </c:pt>
                <c:pt idx="4">
                  <c:v>24</c:v>
                </c:pt>
                <c:pt idx="5">
                  <c:v>35</c:v>
                </c:pt>
                <c:pt idx="6">
                  <c:v>26</c:v>
                </c:pt>
                <c:pt idx="7">
                  <c:v>38</c:v>
                </c:pt>
                <c:pt idx="8">
                  <c:v>25</c:v>
                </c:pt>
                <c:pt idx="9">
                  <c:v>23</c:v>
                </c:pt>
                <c:pt idx="10">
                  <c:v>28</c:v>
                </c:pt>
                <c:pt idx="11">
                  <c:v>37</c:v>
                </c:pt>
                <c:pt idx="12">
                  <c:v>29</c:v>
                </c:pt>
                <c:pt idx="13">
                  <c:v>40</c:v>
                </c:pt>
                <c:pt idx="14">
                  <c:v>45</c:v>
                </c:pt>
              </c:numCache>
            </c:numRef>
          </c:val>
          <c:extLst>
            <c:ext xmlns:c16="http://schemas.microsoft.com/office/drawing/2014/chart" uri="{C3380CC4-5D6E-409C-BE32-E72D297353CC}">
              <c16:uniqueId val="{00000000-F226-49D7-8C47-5C9CA36F920B}"/>
            </c:ext>
          </c:extLst>
        </c:ser>
        <c:dLbls>
          <c:showLegendKey val="0"/>
          <c:showVal val="0"/>
          <c:showCatName val="0"/>
          <c:showSerName val="0"/>
          <c:showPercent val="0"/>
          <c:showBubbleSize val="0"/>
        </c:dLbls>
        <c:gapWidth val="219"/>
        <c:overlap val="-27"/>
        <c:axId val="2118183840"/>
        <c:axId val="1373750048"/>
      </c:barChart>
      <c:catAx>
        <c:axId val="2118183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3750048"/>
        <c:crosses val="autoZero"/>
        <c:auto val="1"/>
        <c:lblAlgn val="ctr"/>
        <c:lblOffset val="100"/>
        <c:noMultiLvlLbl val="0"/>
      </c:catAx>
      <c:valAx>
        <c:axId val="137375004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81838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[AKSHATHA_4314(DAY10).xlsm]Sheet7!PivotTable5</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Sheet7!$J$16</c:f>
              <c:strCache>
                <c:ptCount val="1"/>
                <c:pt idx="0">
                  <c:v>Total</c:v>
                </c:pt>
              </c:strCache>
            </c:strRef>
          </c:tx>
          <c:spPr>
            <a:solidFill>
              <a:schemeClr val="accent1"/>
            </a:solidFill>
            <a:ln>
              <a:noFill/>
            </a:ln>
            <a:effectLst/>
          </c:spPr>
          <c:invertIfNegative val="0"/>
          <c:cat>
            <c:strRef>
              <c:f>Sheet7!$I$17:$I$19</c:f>
              <c:strCache>
                <c:ptCount val="2"/>
                <c:pt idx="0">
                  <c:v>Midwest</c:v>
                </c:pt>
                <c:pt idx="1">
                  <c:v>Southeast</c:v>
                </c:pt>
              </c:strCache>
            </c:strRef>
          </c:cat>
          <c:val>
            <c:numRef>
              <c:f>Sheet7!$J$17:$J$19</c:f>
              <c:numCache>
                <c:formatCode>General</c:formatCode>
                <c:ptCount val="2"/>
                <c:pt idx="0">
                  <c:v>372</c:v>
                </c:pt>
                <c:pt idx="1">
                  <c:v>707</c:v>
                </c:pt>
              </c:numCache>
            </c:numRef>
          </c:val>
          <c:extLst>
            <c:ext xmlns:c16="http://schemas.microsoft.com/office/drawing/2014/chart" uri="{C3380CC4-5D6E-409C-BE32-E72D297353CC}">
              <c16:uniqueId val="{00000000-0434-4D81-B26F-0434CE2EFB25}"/>
            </c:ext>
          </c:extLst>
        </c:ser>
        <c:dLbls>
          <c:showLegendKey val="0"/>
          <c:showVal val="0"/>
          <c:showCatName val="0"/>
          <c:showSerName val="0"/>
          <c:showPercent val="0"/>
          <c:showBubbleSize val="0"/>
        </c:dLbls>
        <c:gapWidth val="219"/>
        <c:overlap val="-27"/>
        <c:axId val="58836383"/>
        <c:axId val="1376736272"/>
      </c:barChart>
      <c:catAx>
        <c:axId val="588363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6736272"/>
        <c:crosses val="autoZero"/>
        <c:auto val="1"/>
        <c:lblAlgn val="ctr"/>
        <c:lblOffset val="100"/>
        <c:noMultiLvlLbl val="0"/>
      </c:catAx>
      <c:valAx>
        <c:axId val="13767362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8363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15</xdr:col>
      <xdr:colOff>918428</xdr:colOff>
      <xdr:row>22</xdr:row>
      <xdr:rowOff>32525</xdr:rowOff>
    </xdr:from>
    <xdr:to>
      <xdr:col>17</xdr:col>
      <xdr:colOff>180044</xdr:colOff>
      <xdr:row>35</xdr:row>
      <xdr:rowOff>140552</xdr:rowOff>
    </xdr:to>
    <mc:AlternateContent xmlns:mc="http://schemas.openxmlformats.org/markup-compatibility/2006" xmlns:a14="http://schemas.microsoft.com/office/drawing/2010/main">
      <mc:Choice Requires="a14">
        <xdr:graphicFrame macro="">
          <xdr:nvGraphicFramePr>
            <xdr:cNvPr id="2" name="Open">
              <a:extLst>
                <a:ext uri="{FF2B5EF4-FFF2-40B4-BE49-F238E27FC236}">
                  <a16:creationId xmlns:a16="http://schemas.microsoft.com/office/drawing/2014/main" id="{27C71350-CA0D-6B36-E2DA-1134E4B1E3FC}"/>
                </a:ext>
              </a:extLst>
            </xdr:cNvPr>
            <xdr:cNvGraphicFramePr/>
          </xdr:nvGraphicFramePr>
          <xdr:xfrm>
            <a:off x="0" y="0"/>
            <a:ext cx="0" cy="0"/>
          </xdr:xfrm>
          <a:graphic>
            <a:graphicData uri="http://schemas.microsoft.com/office/drawing/2010/slicer">
              <sle:slicer xmlns:sle="http://schemas.microsoft.com/office/drawing/2010/slicer" name="Open"/>
            </a:graphicData>
          </a:graphic>
        </xdr:graphicFrame>
      </mc:Choice>
      <mc:Fallback xmlns="">
        <xdr:sp macro="" textlink="">
          <xdr:nvSpPr>
            <xdr:cNvPr id="0" name=""/>
            <xdr:cNvSpPr>
              <a:spLocks noTextEdit="1"/>
            </xdr:cNvSpPr>
          </xdr:nvSpPr>
          <xdr:spPr>
            <a:xfrm>
              <a:off x="10618600" y="4127180"/>
              <a:ext cx="1838948" cy="252759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93702</xdr:colOff>
      <xdr:row>21</xdr:row>
      <xdr:rowOff>168043</xdr:rowOff>
    </xdr:from>
    <xdr:to>
      <xdr:col>18</xdr:col>
      <xdr:colOff>825754</xdr:colOff>
      <xdr:row>35</xdr:row>
      <xdr:rowOff>90217</xdr:rowOff>
    </xdr:to>
    <mc:AlternateContent xmlns:mc="http://schemas.openxmlformats.org/markup-compatibility/2006" xmlns:a14="http://schemas.microsoft.com/office/drawing/2010/main">
      <mc:Choice Requires="a14">
        <xdr:graphicFrame macro="">
          <xdr:nvGraphicFramePr>
            <xdr:cNvPr id="3" name="Close">
              <a:extLst>
                <a:ext uri="{FF2B5EF4-FFF2-40B4-BE49-F238E27FC236}">
                  <a16:creationId xmlns:a16="http://schemas.microsoft.com/office/drawing/2014/main" id="{35AE3DF0-A452-44C1-5205-AE58C9BC9BC8}"/>
                </a:ext>
              </a:extLst>
            </xdr:cNvPr>
            <xdr:cNvGraphicFramePr/>
          </xdr:nvGraphicFramePr>
          <xdr:xfrm>
            <a:off x="0" y="0"/>
            <a:ext cx="0" cy="0"/>
          </xdr:xfrm>
          <a:graphic>
            <a:graphicData uri="http://schemas.microsoft.com/office/drawing/2010/slicer">
              <sle:slicer xmlns:sle="http://schemas.microsoft.com/office/drawing/2010/slicer" name="Close"/>
            </a:graphicData>
          </a:graphic>
        </xdr:graphicFrame>
      </mc:Choice>
      <mc:Fallback xmlns="">
        <xdr:sp macro="" textlink="">
          <xdr:nvSpPr>
            <xdr:cNvPr id="0" name=""/>
            <xdr:cNvSpPr>
              <a:spLocks noTextEdit="1"/>
            </xdr:cNvSpPr>
          </xdr:nvSpPr>
          <xdr:spPr>
            <a:xfrm>
              <a:off x="11797409" y="4076577"/>
              <a:ext cx="1821056" cy="25278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508000</xdr:colOff>
      <xdr:row>22</xdr:row>
      <xdr:rowOff>40268</xdr:rowOff>
    </xdr:from>
    <xdr:to>
      <xdr:col>19</xdr:col>
      <xdr:colOff>523578</xdr:colOff>
      <xdr:row>35</xdr:row>
      <xdr:rowOff>148295</xdr:rowOff>
    </xdr:to>
    <mc:AlternateContent xmlns:mc="http://schemas.openxmlformats.org/markup-compatibility/2006" xmlns:a14="http://schemas.microsoft.com/office/drawing/2010/main">
      <mc:Choice Requires="a14">
        <xdr:graphicFrame macro="">
          <xdr:nvGraphicFramePr>
            <xdr:cNvPr id="4" name="Volume">
              <a:extLst>
                <a:ext uri="{FF2B5EF4-FFF2-40B4-BE49-F238E27FC236}">
                  <a16:creationId xmlns:a16="http://schemas.microsoft.com/office/drawing/2014/main" id="{EAB9556A-205B-C4BB-7D4B-337F0B5F9909}"/>
                </a:ext>
              </a:extLst>
            </xdr:cNvPr>
            <xdr:cNvGraphicFramePr/>
          </xdr:nvGraphicFramePr>
          <xdr:xfrm>
            <a:off x="0" y="0"/>
            <a:ext cx="0" cy="0"/>
          </xdr:xfrm>
          <a:graphic>
            <a:graphicData uri="http://schemas.microsoft.com/office/drawing/2010/slicer">
              <sle:slicer xmlns:sle="http://schemas.microsoft.com/office/drawing/2010/slicer" name="Volume"/>
            </a:graphicData>
          </a:graphic>
        </xdr:graphicFrame>
      </mc:Choice>
      <mc:Fallback xmlns="">
        <xdr:sp macro="" textlink="">
          <xdr:nvSpPr>
            <xdr:cNvPr id="0" name=""/>
            <xdr:cNvSpPr>
              <a:spLocks noTextEdit="1"/>
            </xdr:cNvSpPr>
          </xdr:nvSpPr>
          <xdr:spPr>
            <a:xfrm>
              <a:off x="13065672" y="4134923"/>
              <a:ext cx="1817851" cy="252759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550592</xdr:colOff>
      <xdr:row>22</xdr:row>
      <xdr:rowOff>67372</xdr:rowOff>
    </xdr:from>
    <xdr:to>
      <xdr:col>20</xdr:col>
      <xdr:colOff>215781</xdr:colOff>
      <xdr:row>35</xdr:row>
      <xdr:rowOff>175399</xdr:rowOff>
    </xdr:to>
    <mc:AlternateContent xmlns:mc="http://schemas.openxmlformats.org/markup-compatibility/2006" xmlns:a14="http://schemas.microsoft.com/office/drawing/2010/main">
      <mc:Choice Requires="a14">
        <xdr:graphicFrame macro="">
          <xdr:nvGraphicFramePr>
            <xdr:cNvPr id="5" name="Geography">
              <a:extLst>
                <a:ext uri="{FF2B5EF4-FFF2-40B4-BE49-F238E27FC236}">
                  <a16:creationId xmlns:a16="http://schemas.microsoft.com/office/drawing/2014/main" id="{4DD01A77-ECBA-8D67-330E-EC8109958E99}"/>
                </a:ext>
              </a:extLst>
            </xdr:cNvPr>
            <xdr:cNvGraphicFramePr/>
          </xdr:nvGraphicFramePr>
          <xdr:xfrm>
            <a:off x="0" y="0"/>
            <a:ext cx="0" cy="0"/>
          </xdr:xfrm>
          <a:graphic>
            <a:graphicData uri="http://schemas.microsoft.com/office/drawing/2010/slicer">
              <sle:slicer xmlns:sle="http://schemas.microsoft.com/office/drawing/2010/slicer" name="Geography"/>
            </a:graphicData>
          </a:graphic>
        </xdr:graphicFrame>
      </mc:Choice>
      <mc:Fallback xmlns="">
        <xdr:sp macro="" textlink="">
          <xdr:nvSpPr>
            <xdr:cNvPr id="0" name=""/>
            <xdr:cNvSpPr>
              <a:spLocks noTextEdit="1"/>
            </xdr:cNvSpPr>
          </xdr:nvSpPr>
          <xdr:spPr>
            <a:xfrm>
              <a:off x="13951282" y="4162027"/>
              <a:ext cx="1835743" cy="252759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396328</xdr:colOff>
      <xdr:row>42</xdr:row>
      <xdr:rowOff>109483</xdr:rowOff>
    </xdr:from>
    <xdr:to>
      <xdr:col>22</xdr:col>
      <xdr:colOff>1423276</xdr:colOff>
      <xdr:row>60</xdr:row>
      <xdr:rowOff>109483</xdr:rowOff>
    </xdr:to>
    <xdr:graphicFrame macro="">
      <xdr:nvGraphicFramePr>
        <xdr:cNvPr id="7" name="Chart 6">
          <a:extLst>
            <a:ext uri="{FF2B5EF4-FFF2-40B4-BE49-F238E27FC236}">
              <a16:creationId xmlns:a16="http://schemas.microsoft.com/office/drawing/2014/main" id="{24C43436-8F03-375B-3F36-97B6798CA5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10</xdr:col>
      <xdr:colOff>447675</xdr:colOff>
      <xdr:row>63</xdr:row>
      <xdr:rowOff>6350</xdr:rowOff>
    </xdr:from>
    <xdr:to>
      <xdr:col>17</xdr:col>
      <xdr:colOff>530225</xdr:colOff>
      <xdr:row>77</xdr:row>
      <xdr:rowOff>171450</xdr:rowOff>
    </xdr:to>
    <xdr:graphicFrame macro="">
      <xdr:nvGraphicFramePr>
        <xdr:cNvPr id="3" name="Chart 2">
          <a:extLst>
            <a:ext uri="{FF2B5EF4-FFF2-40B4-BE49-F238E27FC236}">
              <a16:creationId xmlns:a16="http://schemas.microsoft.com/office/drawing/2014/main" id="{21EE9EFD-6C4A-79D8-732D-368F8FADC6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241300</xdr:colOff>
      <xdr:row>43</xdr:row>
      <xdr:rowOff>151053</xdr:rowOff>
    </xdr:from>
    <xdr:to>
      <xdr:col>13</xdr:col>
      <xdr:colOff>626918</xdr:colOff>
      <xdr:row>57</xdr:row>
      <xdr:rowOff>115935</xdr:rowOff>
    </xdr:to>
    <mc:AlternateContent xmlns:mc="http://schemas.openxmlformats.org/markup-compatibility/2006">
      <mc:Choice xmlns:a14="http://schemas.microsoft.com/office/drawing/2010/main" Requires="a14">
        <xdr:graphicFrame macro="">
          <xdr:nvGraphicFramePr>
            <xdr:cNvPr id="4" name="Country">
              <a:extLst>
                <a:ext uri="{FF2B5EF4-FFF2-40B4-BE49-F238E27FC236}">
                  <a16:creationId xmlns:a16="http://schemas.microsoft.com/office/drawing/2014/main" id="{23A22B12-2312-CDFD-7447-226C91FA739F}"/>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dr:sp macro="" textlink="">
          <xdr:nvSpPr>
            <xdr:cNvPr id="0" name=""/>
            <xdr:cNvSpPr>
              <a:spLocks noTextEdit="1"/>
            </xdr:cNvSpPr>
          </xdr:nvSpPr>
          <xdr:spPr>
            <a:xfrm>
              <a:off x="12167622" y="7997317"/>
              <a:ext cx="1830790" cy="25194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121035</xdr:colOff>
      <xdr:row>43</xdr:row>
      <xdr:rowOff>175106</xdr:rowOff>
    </xdr:from>
    <xdr:to>
      <xdr:col>16</xdr:col>
      <xdr:colOff>545138</xdr:colOff>
      <xdr:row>57</xdr:row>
      <xdr:rowOff>139988</xdr:rowOff>
    </xdr:to>
    <mc:AlternateContent xmlns:mc="http://schemas.openxmlformats.org/markup-compatibility/2006">
      <mc:Choice xmlns:a14="http://schemas.microsoft.com/office/drawing/2010/main" Requires="a14">
        <xdr:graphicFrame macro="">
          <xdr:nvGraphicFramePr>
            <xdr:cNvPr id="5" name="Age">
              <a:extLst>
                <a:ext uri="{FF2B5EF4-FFF2-40B4-BE49-F238E27FC236}">
                  <a16:creationId xmlns:a16="http://schemas.microsoft.com/office/drawing/2014/main" id="{63FE55BA-4CC3-FFD5-E452-9783BD3B6206}"/>
                </a:ext>
              </a:extLst>
            </xdr:cNvPr>
            <xdr:cNvGraphicFramePr/>
          </xdr:nvGraphicFramePr>
          <xdr:xfrm>
            <a:off x="0" y="0"/>
            <a:ext cx="0" cy="0"/>
          </xdr:xfrm>
          <a:graphic>
            <a:graphicData uri="http://schemas.microsoft.com/office/drawing/2010/slicer">
              <sle:slicer xmlns:sle="http://schemas.microsoft.com/office/drawing/2010/slicer" name="Age"/>
            </a:graphicData>
          </a:graphic>
        </xdr:graphicFrame>
      </mc:Choice>
      <mc:Fallback>
        <xdr:sp macro="" textlink="">
          <xdr:nvSpPr>
            <xdr:cNvPr id="0" name=""/>
            <xdr:cNvSpPr>
              <a:spLocks noTextEdit="1"/>
            </xdr:cNvSpPr>
          </xdr:nvSpPr>
          <xdr:spPr>
            <a:xfrm>
              <a:off x="14200518" y="8021370"/>
              <a:ext cx="1840080" cy="25194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578042</xdr:colOff>
      <xdr:row>28</xdr:row>
      <xdr:rowOff>54841</xdr:rowOff>
    </xdr:from>
    <xdr:to>
      <xdr:col>14</xdr:col>
      <xdr:colOff>261311</xdr:colOff>
      <xdr:row>42</xdr:row>
      <xdr:rowOff>19724</xdr:rowOff>
    </xdr:to>
    <mc:AlternateContent xmlns:mc="http://schemas.openxmlformats.org/markup-compatibility/2006">
      <mc:Choice xmlns:a14="http://schemas.microsoft.com/office/drawing/2010/main" Requires="a14">
        <xdr:graphicFrame macro="">
          <xdr:nvGraphicFramePr>
            <xdr:cNvPr id="6" name="Project">
              <a:extLst>
                <a:ext uri="{FF2B5EF4-FFF2-40B4-BE49-F238E27FC236}">
                  <a16:creationId xmlns:a16="http://schemas.microsoft.com/office/drawing/2014/main" id="{568F1165-BD72-9EBB-F513-BACFAE8902A2}"/>
                </a:ext>
              </a:extLst>
            </xdr:cNvPr>
            <xdr:cNvGraphicFramePr/>
          </xdr:nvGraphicFramePr>
          <xdr:xfrm>
            <a:off x="0" y="0"/>
            <a:ext cx="0" cy="0"/>
          </xdr:xfrm>
          <a:graphic>
            <a:graphicData uri="http://schemas.microsoft.com/office/drawing/2010/slicer">
              <sle:slicer xmlns:sle="http://schemas.microsoft.com/office/drawing/2010/slicer" name="Project"/>
            </a:graphicData>
          </a:graphic>
        </xdr:graphicFrame>
      </mc:Choice>
      <mc:Fallback>
        <xdr:sp macro="" textlink="">
          <xdr:nvSpPr>
            <xdr:cNvPr id="0" name=""/>
            <xdr:cNvSpPr>
              <a:spLocks noTextEdit="1"/>
            </xdr:cNvSpPr>
          </xdr:nvSpPr>
          <xdr:spPr>
            <a:xfrm>
              <a:off x="12504364" y="5164036"/>
              <a:ext cx="1836430" cy="25194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409670</xdr:colOff>
      <xdr:row>28</xdr:row>
      <xdr:rowOff>136621</xdr:rowOff>
    </xdr:from>
    <xdr:to>
      <xdr:col>17</xdr:col>
      <xdr:colOff>131425</xdr:colOff>
      <xdr:row>42</xdr:row>
      <xdr:rowOff>101504</xdr:rowOff>
    </xdr:to>
    <mc:AlternateContent xmlns:mc="http://schemas.openxmlformats.org/markup-compatibility/2006">
      <mc:Choice xmlns:a14="http://schemas.microsoft.com/office/drawing/2010/main" Requires="a14">
        <xdr:graphicFrame macro="">
          <xdr:nvGraphicFramePr>
            <xdr:cNvPr id="7" name="Deadline">
              <a:extLst>
                <a:ext uri="{FF2B5EF4-FFF2-40B4-BE49-F238E27FC236}">
                  <a16:creationId xmlns:a16="http://schemas.microsoft.com/office/drawing/2014/main" id="{6DA3EE62-46F0-AB94-E1F7-8CBCF9382800}"/>
                </a:ext>
              </a:extLst>
            </xdr:cNvPr>
            <xdr:cNvGraphicFramePr/>
          </xdr:nvGraphicFramePr>
          <xdr:xfrm>
            <a:off x="0" y="0"/>
            <a:ext cx="0" cy="0"/>
          </xdr:xfrm>
          <a:graphic>
            <a:graphicData uri="http://schemas.microsoft.com/office/drawing/2010/slicer">
              <sle:slicer xmlns:sle="http://schemas.microsoft.com/office/drawing/2010/slicer" name="Deadline"/>
            </a:graphicData>
          </a:graphic>
        </xdr:graphicFrame>
      </mc:Choice>
      <mc:Fallback>
        <xdr:sp macro="" textlink="">
          <xdr:nvSpPr>
            <xdr:cNvPr id="0" name=""/>
            <xdr:cNvSpPr>
              <a:spLocks noTextEdit="1"/>
            </xdr:cNvSpPr>
          </xdr:nvSpPr>
          <xdr:spPr>
            <a:xfrm>
              <a:off x="14489153" y="5245816"/>
              <a:ext cx="1845720" cy="25194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241301</xdr:colOff>
      <xdr:row>28</xdr:row>
      <xdr:rowOff>170295</xdr:rowOff>
    </xdr:from>
    <xdr:to>
      <xdr:col>19</xdr:col>
      <xdr:colOff>511464</xdr:colOff>
      <xdr:row>42</xdr:row>
      <xdr:rowOff>135178</xdr:rowOff>
    </xdr:to>
    <mc:AlternateContent xmlns:mc="http://schemas.openxmlformats.org/markup-compatibility/2006">
      <mc:Choice xmlns:a14="http://schemas.microsoft.com/office/drawing/2010/main" Requires="a14">
        <xdr:graphicFrame macro="">
          <xdr:nvGraphicFramePr>
            <xdr:cNvPr id="8" name="Individual deadline">
              <a:extLst>
                <a:ext uri="{FF2B5EF4-FFF2-40B4-BE49-F238E27FC236}">
                  <a16:creationId xmlns:a16="http://schemas.microsoft.com/office/drawing/2014/main" id="{668C299C-BFAA-47E8-648D-17D111711866}"/>
                </a:ext>
              </a:extLst>
            </xdr:cNvPr>
            <xdr:cNvGraphicFramePr/>
          </xdr:nvGraphicFramePr>
          <xdr:xfrm>
            <a:off x="0" y="0"/>
            <a:ext cx="0" cy="0"/>
          </xdr:xfrm>
          <a:graphic>
            <a:graphicData uri="http://schemas.microsoft.com/office/drawing/2010/slicer">
              <sle:slicer xmlns:sle="http://schemas.microsoft.com/office/drawing/2010/slicer" name="Individual deadline"/>
            </a:graphicData>
          </a:graphic>
        </xdr:graphicFrame>
      </mc:Choice>
      <mc:Fallback>
        <xdr:sp macro="" textlink="">
          <xdr:nvSpPr>
            <xdr:cNvPr id="0" name=""/>
            <xdr:cNvSpPr>
              <a:spLocks noTextEdit="1"/>
            </xdr:cNvSpPr>
          </xdr:nvSpPr>
          <xdr:spPr>
            <a:xfrm>
              <a:off x="16444749" y="5279490"/>
              <a:ext cx="1817520" cy="25194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696576</xdr:colOff>
      <xdr:row>49</xdr:row>
      <xdr:rowOff>18665</xdr:rowOff>
    </xdr:from>
    <xdr:to>
      <xdr:col>7</xdr:col>
      <xdr:colOff>942879</xdr:colOff>
      <xdr:row>75</xdr:row>
      <xdr:rowOff>57727</xdr:rowOff>
    </xdr:to>
    <xdr:graphicFrame macro="">
      <xdr:nvGraphicFramePr>
        <xdr:cNvPr id="9" name="Chart 8">
          <a:extLst>
            <a:ext uri="{FF2B5EF4-FFF2-40B4-BE49-F238E27FC236}">
              <a16:creationId xmlns:a16="http://schemas.microsoft.com/office/drawing/2014/main" id="{2675F2CC-DA09-98C5-8299-015FECB03C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488950</xdr:colOff>
      <xdr:row>1</xdr:row>
      <xdr:rowOff>19050</xdr:rowOff>
    </xdr:from>
    <xdr:to>
      <xdr:col>12</xdr:col>
      <xdr:colOff>431800</xdr:colOff>
      <xdr:row>19</xdr:row>
      <xdr:rowOff>0</xdr:rowOff>
    </xdr:to>
    <xdr:graphicFrame macro="">
      <xdr:nvGraphicFramePr>
        <xdr:cNvPr id="2" name="Chart 1">
          <a:extLst>
            <a:ext uri="{FF2B5EF4-FFF2-40B4-BE49-F238E27FC236}">
              <a16:creationId xmlns:a16="http://schemas.microsoft.com/office/drawing/2014/main" id="{9BFF28B8-CEB9-AD2D-B4F4-26294903B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14</xdr:row>
      <xdr:rowOff>57150</xdr:rowOff>
    </xdr:from>
    <xdr:to>
      <xdr:col>7</xdr:col>
      <xdr:colOff>304800</xdr:colOff>
      <xdr:row>29</xdr:row>
      <xdr:rowOff>38100</xdr:rowOff>
    </xdr:to>
    <xdr:graphicFrame macro="">
      <xdr:nvGraphicFramePr>
        <xdr:cNvPr id="2" name="Chart 1">
          <a:extLst>
            <a:ext uri="{FF2B5EF4-FFF2-40B4-BE49-F238E27FC236}">
              <a16:creationId xmlns:a16="http://schemas.microsoft.com/office/drawing/2014/main" id="{517FB966-6C92-E8FD-6F78-09CC2E53047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0</xdr:colOff>
      <xdr:row>10</xdr:row>
      <xdr:rowOff>0</xdr:rowOff>
    </xdr:from>
    <xdr:to>
      <xdr:col>8</xdr:col>
      <xdr:colOff>546316</xdr:colOff>
      <xdr:row>28</xdr:row>
      <xdr:rowOff>114476</xdr:rowOff>
    </xdr:to>
    <xdr:pic>
      <xdr:nvPicPr>
        <xdr:cNvPr id="2" name="Picture 1">
          <a:extLst>
            <a:ext uri="{FF2B5EF4-FFF2-40B4-BE49-F238E27FC236}">
              <a16:creationId xmlns:a16="http://schemas.microsoft.com/office/drawing/2014/main" id="{81951691-B28A-3E29-395E-916A346DB7BC}"/>
            </a:ext>
          </a:extLst>
        </xdr:cNvPr>
        <xdr:cNvPicPr>
          <a:picLocks noChangeAspect="1"/>
        </xdr:cNvPicPr>
      </xdr:nvPicPr>
      <xdr:blipFill>
        <a:blip xmlns:r="http://schemas.openxmlformats.org/officeDocument/2006/relationships" r:embed="rId1"/>
        <a:stretch>
          <a:fillRect/>
        </a:stretch>
      </xdr:blipFill>
      <xdr:spPr>
        <a:xfrm>
          <a:off x="1219200" y="2146300"/>
          <a:ext cx="4203916" cy="342917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158750</xdr:colOff>
      <xdr:row>2</xdr:row>
      <xdr:rowOff>12700</xdr:rowOff>
    </xdr:from>
    <xdr:to>
      <xdr:col>12</xdr:col>
      <xdr:colOff>260637</xdr:colOff>
      <xdr:row>26</xdr:row>
      <xdr:rowOff>82781</xdr:rowOff>
    </xdr:to>
    <xdr:pic>
      <xdr:nvPicPr>
        <xdr:cNvPr id="2" name="Picture 1">
          <a:extLst>
            <a:ext uri="{FF2B5EF4-FFF2-40B4-BE49-F238E27FC236}">
              <a16:creationId xmlns:a16="http://schemas.microsoft.com/office/drawing/2014/main" id="{3BB983A0-7FF2-1FE0-0288-4609C962AC7C}"/>
            </a:ext>
          </a:extLst>
        </xdr:cNvPr>
        <xdr:cNvPicPr>
          <a:picLocks noChangeAspect="1"/>
        </xdr:cNvPicPr>
      </xdr:nvPicPr>
      <xdr:blipFill>
        <a:blip xmlns:r="http://schemas.openxmlformats.org/officeDocument/2006/relationships" r:embed="rId1"/>
        <a:stretch>
          <a:fillRect/>
        </a:stretch>
      </xdr:blipFill>
      <xdr:spPr>
        <a:xfrm>
          <a:off x="1987550" y="381000"/>
          <a:ext cx="5588287" cy="4489681"/>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mesh Shetty, Akshatha" refreshedDate="45169.679459027779" createdVersion="8" refreshedVersion="8" minRefreshableVersion="3" recordCount="12" xr:uid="{AC752D4C-ACC6-4E57-B835-4AC4EE9FAB02}">
  <cacheSource type="worksheet">
    <worksheetSource name="Table5"/>
  </cacheSource>
  <cacheFields count="3">
    <cacheField name="Date" numFmtId="15">
      <sharedItems containsSemiMixedTypes="0" containsNonDate="0" containsDate="1" containsString="0" minDate="2023-01-01T00:00:00" maxDate="2023-01-13T00:00:00"/>
    </cacheField>
    <cacheField name="Region" numFmtId="0">
      <sharedItems count="5">
        <s v="Midwest"/>
        <s v="East"/>
        <s v="South"/>
        <s v="Midwwest" u="1"/>
        <s v="Southeast" f="1"/>
      </sharedItems>
    </cacheField>
    <cacheField name="Value" numFmtId="0">
      <sharedItems containsSemiMixedTypes="0" containsString="0" containsNumber="1" containsInteger="1" minValue="42" maxValue="149"/>
    </cacheField>
  </cacheFields>
  <calculatedItems count="1">
    <calculatedItem formula="Region[South] +Region[East]">
      <pivotArea cacheIndex="1" outline="0" fieldPosition="0">
        <references count="1">
          <reference field="1" count="1">
            <x v="4"/>
          </reference>
        </references>
      </pivotArea>
    </calculatedItem>
  </calculatedItem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mesh Shetty, Akshatha" refreshedDate="45169.679459606479" createdVersion="8" refreshedVersion="8" minRefreshableVersion="3" recordCount="15" xr:uid="{083D2314-ED29-4E0B-89DA-D40D327168FC}">
  <cacheSource type="worksheet">
    <worksheetSource name="Table2"/>
  </cacheSource>
  <cacheFields count="14">
    <cacheField name="Sl No" numFmtId="0">
      <sharedItems containsSemiMixedTypes="0" containsString="0" containsNumber="1" containsInteger="1" minValue="1" maxValue="15"/>
    </cacheField>
    <cacheField name="Name" numFmtId="0">
      <sharedItems count="15">
        <s v="Navors Brian"/>
        <s v="Patel KishanKumar"/>
        <s v="Rominger William "/>
        <s v="Rutland Daniel"/>
        <s v="Schmidt Robert"/>
        <s v="Tjienda Prince"/>
        <s v="Venno Nathan"/>
        <s v="Anderson Reina"/>
        <s v="Buruin Christy "/>
        <s v="Heflin Viola"/>
        <s v="Daniel Radcliffe"/>
        <s v="Sam Von"/>
        <s v="Luna Winter"/>
        <s v="George "/>
        <s v="Clove "/>
      </sharedItems>
    </cacheField>
    <cacheField name="Country" numFmtId="0">
      <sharedItems count="9">
        <s v="India"/>
        <s v="Japan"/>
        <s v="Russia"/>
        <s v="Mongolia"/>
        <s v="Thailand"/>
        <s v="Georgia"/>
        <s v="Jordan"/>
        <s v="China"/>
        <s v="United Arab Emirates"/>
      </sharedItems>
    </cacheField>
    <cacheField name="Age" numFmtId="0">
      <sharedItems containsSemiMixedTypes="0" containsString="0" containsNumber="1" containsInteger="1" minValue="20" maxValue="45"/>
    </cacheField>
    <cacheField name="Income" numFmtId="168">
      <sharedItems containsSemiMixedTypes="0" containsString="0" containsNumber="1" containsInteger="1" minValue="1000000" maxValue="15000000"/>
    </cacheField>
    <cacheField name="Project" numFmtId="0">
      <sharedItems/>
    </cacheField>
    <cacheField name="Deadline" numFmtId="14">
      <sharedItems containsSemiMixedTypes="0" containsNonDate="0" containsDate="1" containsString="0" minDate="2023-09-29T00:00:00" maxDate="2024-04-08T00:00:00" count="7">
        <d v="2023-09-29T00:00:00"/>
        <d v="2023-10-30T00:00:00"/>
        <d v="2024-01-01T00:00:00"/>
        <d v="2024-02-02T00:00:00"/>
        <d v="2024-03-05T00:00:00"/>
        <d v="2024-04-06T00:00:00"/>
        <d v="2024-04-07T00:00:00"/>
      </sharedItems>
      <fieldGroup par="10"/>
    </cacheField>
    <cacheField name="Individual deadline" numFmtId="14">
      <sharedItems containsSemiMixedTypes="0" containsNonDate="0" containsDate="1" containsString="0" minDate="2023-03-29T00:00:00" maxDate="2024-02-07T00:00:00" count="15">
        <d v="2023-05-29T00:00:00"/>
        <d v="2023-06-30T00:00:00"/>
        <d v="2023-09-01T00:00:00"/>
        <d v="2023-10-02T00:00:00"/>
        <d v="2023-11-05T00:00:00"/>
        <d v="2023-12-06T00:00:00"/>
        <d v="2023-12-07T00:00:00"/>
        <d v="2023-03-29T00:00:00"/>
        <d v="2023-09-02T00:00:00"/>
        <d v="2024-02-06T00:00:00"/>
        <d v="2023-08-01T00:00:00"/>
        <d v="2023-12-01T00:00:00"/>
        <d v="2023-08-05T00:00:00"/>
        <d v="2023-03-30T00:00:00"/>
        <d v="2023-05-01T00:00:00"/>
      </sharedItems>
      <fieldGroup par="13"/>
    </cacheField>
    <cacheField name="Months (Deadline)" numFmtId="0" databaseField="0">
      <fieldGroup base="6">
        <rangePr groupBy="months" startDate="2023-09-29T00:00:00" endDate="2024-04-08T00:00:00"/>
        <groupItems count="14">
          <s v="&lt;9/29/2023"/>
          <s v="Jan"/>
          <s v="Feb"/>
          <s v="Mar"/>
          <s v="Apr"/>
          <s v="May"/>
          <s v="Jun"/>
          <s v="Jul"/>
          <s v="Aug"/>
          <s v="Sep"/>
          <s v="Oct"/>
          <s v="Nov"/>
          <s v="Dec"/>
          <s v="&gt;4/8/2024"/>
        </groupItems>
      </fieldGroup>
    </cacheField>
    <cacheField name="Quarters (Deadline)" numFmtId="0" databaseField="0">
      <fieldGroup base="6">
        <rangePr groupBy="quarters" startDate="2023-09-29T00:00:00" endDate="2024-04-08T00:00:00"/>
        <groupItems count="6">
          <s v="&lt;9/29/2023"/>
          <s v="Qtr1"/>
          <s v="Qtr2"/>
          <s v="Qtr3"/>
          <s v="Qtr4"/>
          <s v="&gt;4/8/2024"/>
        </groupItems>
      </fieldGroup>
    </cacheField>
    <cacheField name="Years (Deadline)" numFmtId="0" databaseField="0">
      <fieldGroup base="6">
        <rangePr groupBy="years" startDate="2023-09-29T00:00:00" endDate="2024-04-08T00:00:00"/>
        <groupItems count="4">
          <s v="&lt;9/29/2023"/>
          <s v="2023"/>
          <s v="2024"/>
          <s v="&gt;4/8/2024"/>
        </groupItems>
      </fieldGroup>
    </cacheField>
    <cacheField name="Months (Individual deadline)" numFmtId="0" databaseField="0">
      <fieldGroup base="7">
        <rangePr groupBy="months" startDate="2023-03-29T00:00:00" endDate="2024-02-07T00:00:00"/>
        <groupItems count="14">
          <s v="&lt;3/29/2023"/>
          <s v="Jan"/>
          <s v="Feb"/>
          <s v="Mar"/>
          <s v="Apr"/>
          <s v="May"/>
          <s v="Jun"/>
          <s v="Jul"/>
          <s v="Aug"/>
          <s v="Sep"/>
          <s v="Oct"/>
          <s v="Nov"/>
          <s v="Dec"/>
          <s v="&gt;2/7/2024"/>
        </groupItems>
      </fieldGroup>
    </cacheField>
    <cacheField name="Quarters (Individual deadline)" numFmtId="0" databaseField="0">
      <fieldGroup base="7">
        <rangePr groupBy="quarters" startDate="2023-03-29T00:00:00" endDate="2024-02-07T00:00:00"/>
        <groupItems count="6">
          <s v="&lt;3/29/2023"/>
          <s v="Qtr1"/>
          <s v="Qtr2"/>
          <s v="Qtr3"/>
          <s v="Qtr4"/>
          <s v="&gt;2/7/2024"/>
        </groupItems>
      </fieldGroup>
    </cacheField>
    <cacheField name="Years (Individual deadline)" numFmtId="0" databaseField="0">
      <fieldGroup base="7">
        <rangePr groupBy="years" startDate="2023-03-29T00:00:00" endDate="2024-02-07T00:00:00"/>
        <groupItems count="4">
          <s v="&lt;3/29/2023"/>
          <s v="2023"/>
          <s v="2024"/>
          <s v="&gt;2/7/2024"/>
        </groupItems>
      </fieldGroup>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mesh Shetty, Akshatha" refreshedDate="45169.679459837964" createdVersion="8" refreshedVersion="8" minRefreshableVersion="3" recordCount="20" xr:uid="{05602B6E-C110-48FD-98FA-CCB0BF1C1A52}">
  <cacheSource type="worksheet">
    <worksheetSource ref="A2:H22" sheet="Pivot_table"/>
  </cacheSource>
  <cacheFields count="9">
    <cacheField name="Date" numFmtId="15">
      <sharedItems containsSemiMixedTypes="0" containsNonDate="0" containsDate="1" containsString="0" minDate="2023-08-01T00:00:00" maxDate="2023-08-29T00:00:00" count="20">
        <d v="2023-08-28T00:00:00"/>
        <d v="2023-08-25T00:00:00"/>
        <d v="2023-08-24T00:00:00"/>
        <d v="2023-08-23T00:00:00"/>
        <d v="2023-08-22T00:00:00"/>
        <d v="2023-08-21T00:00:00"/>
        <d v="2023-08-18T00:00:00"/>
        <d v="2023-08-17T00:00:00"/>
        <d v="2023-08-16T00:00:00"/>
        <d v="2023-08-15T00:00:00"/>
        <d v="2023-08-14T00:00:00"/>
        <d v="2023-08-11T00:00:00"/>
        <d v="2023-08-10T00:00:00"/>
        <d v="2023-08-09T00:00:00"/>
        <d v="2023-08-08T00:00:00"/>
        <d v="2023-08-07T00:00:00"/>
        <d v="2023-08-04T00:00:00"/>
        <d v="2023-08-03T00:00:00"/>
        <d v="2023-08-02T00:00:00"/>
        <d v="2023-08-01T00:00:00"/>
      </sharedItems>
    </cacheField>
    <cacheField name="Open" numFmtId="4">
      <sharedItems containsSemiMixedTypes="0" containsString="0" containsNumber="1" minValue="64167.39" maxValue="65558.91" count="20">
        <n v="65558.91"/>
        <n v="65401.82"/>
        <n v="65493.1"/>
        <n v="65488.67"/>
        <n v="65198.74"/>
        <n v="64721.09"/>
        <n v="64469.75"/>
        <n v="64625.279999999999"/>
        <n v="64928.98"/>
        <n v="65023.8"/>
        <n v="65325.37"/>
        <n v="65204.82"/>
        <n v="64167.39"/>
        <n v="65385.45"/>
        <n v="65336.71"/>
        <n v="65198.080000000002"/>
        <n v="65263.06"/>
        <n v="64267.360000000001"/>
        <n v="64193.38"/>
        <n v="64337.3"/>
      </sharedItems>
    </cacheField>
    <cacheField name="High" numFmtId="4">
      <sharedItems containsSemiMixedTypes="0" containsString="0" containsNumber="1" minValue="64301.59" maxValue="66185.039999999994"/>
    </cacheField>
    <cacheField name="Low" numFmtId="4">
      <sharedItems containsSemiMixedTypes="0" containsString="0" containsNumber="1" minValue="63773.760000000002" maxValue="65558.91" count="20">
        <n v="65558.91"/>
        <n v="65401.82"/>
        <n v="65374.39"/>
        <n v="65416.76"/>
        <n v="65191.01"/>
        <n v="64690.33"/>
        <n v="64450.400000000001"/>
        <n v="64452.84"/>
        <n v="64549.58"/>
        <n v="64860.22"/>
        <n v="65183.22"/>
        <n v="65189.91"/>
        <n v="64154.19"/>
        <n v="64167.39"/>
        <n v="65212.959999999999"/>
        <n v="65192.01"/>
        <n v="64910.29"/>
        <n v="64267.360000000001"/>
        <n v="63773.760000000002"/>
        <n v="64003.17"/>
      </sharedItems>
    </cacheField>
    <cacheField name="Close" numFmtId="4">
      <sharedItems containsSemiMixedTypes="0" containsString="0" containsNumber="1" minValue="64167.39" maxValue="65909.179999999993" count="20">
        <n v="65909.179999999993"/>
        <n v="65558.91"/>
        <n v="65401.82"/>
        <n v="65492.92"/>
        <n v="65488.67"/>
        <n v="65202.41"/>
        <n v="64743.96"/>
        <n v="64663.78"/>
        <n v="64625.279999999999"/>
        <n v="64928.98"/>
        <n v="65210.49"/>
        <n v="65325.37"/>
        <n v="65205.35"/>
        <n v="64167.39"/>
        <n v="65309.65"/>
        <n v="65336.800000000003"/>
        <n v="65198.080000000002"/>
        <n v="65263.06"/>
        <n v="64267.360000000001"/>
        <n v="64192.2"/>
      </sharedItems>
    </cacheField>
    <cacheField name="Volume" numFmtId="0">
      <sharedItems count="20">
        <s v="92.28M"/>
        <s v="356.02M"/>
        <s v="583.09M"/>
        <s v="348.32M"/>
        <s v="293.46M"/>
        <s v="231.60M"/>
        <s v="537.58M"/>
        <s v="320.35M"/>
        <s v="291.68M"/>
        <s v="280.47M"/>
        <s v="259.04M"/>
        <s v="489.69M"/>
        <s v="361.20M"/>
        <s v="238.04M"/>
        <s v="317.81M"/>
        <s v="334.33M"/>
        <s v="363.14M"/>
        <s v="445.28M"/>
        <s v="330.77M"/>
        <s v="762.10M"/>
      </sharedItems>
    </cacheField>
    <cacheField name="Geography" numFmtId="0">
      <sharedItems count="6">
        <s v="India"/>
        <s v="China"/>
        <s v="Uae"/>
        <s v="Us"/>
        <s v="Thailand"/>
        <s v="Vietnam"/>
      </sharedItems>
    </cacheField>
    <cacheField name="Chg%" numFmtId="10">
      <sharedItems containsSemiMixedTypes="0" containsString="0" containsNumber="1" minValue="-1.7500000000000002E-2" maxValue="1.6199999999999999E-2"/>
    </cacheField>
    <cacheField name="Difference" numFmtId="0" formula="Open-Close" databaseField="0"/>
  </cacheFields>
  <extLst>
    <ext xmlns:x14="http://schemas.microsoft.com/office/spreadsheetml/2009/9/main" uri="{725AE2AE-9491-48be-B2B4-4EB974FC3084}">
      <x14:pivotCacheDefinition pivotCacheId="2086145472"/>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mesh Shetty, Akshatha" refreshedDate="45169.679460416664" createdVersion="8" refreshedVersion="8" minRefreshableVersion="3" recordCount="15" xr:uid="{2F2C2166-AE7C-4094-A201-5855B93226E8}">
  <cacheSource type="worksheet">
    <worksheetSource ref="A2:H17" sheet="Pivot_table and chart"/>
  </cacheSource>
  <cacheFields count="11">
    <cacheField name="Sl No" numFmtId="0">
      <sharedItems containsSemiMixedTypes="0" containsString="0" containsNumber="1" containsInteger="1" minValue="1" maxValue="15"/>
    </cacheField>
    <cacheField name="Name" numFmtId="0">
      <sharedItems count="15">
        <s v="Navors Brian"/>
        <s v="Patel KishanKumar"/>
        <s v="Rominger William "/>
        <s v="Rutland Daniel"/>
        <s v="Schmidt Robert"/>
        <s v="Tjienda Prince"/>
        <s v="Venno Nathan"/>
        <s v="Anderson Reina"/>
        <s v="Buruin Christy "/>
        <s v="Heflin Viola"/>
        <s v="Daniel Radcliffe"/>
        <s v="Sam Von"/>
        <s v="Luna Winter"/>
        <s v="George "/>
        <s v="Clove "/>
      </sharedItems>
    </cacheField>
    <cacheField name="Country" numFmtId="0">
      <sharedItems count="9">
        <s v="India"/>
        <s v="Japan"/>
        <s v="Russia"/>
        <s v="Mongolia"/>
        <s v="Thailand"/>
        <s v="Georgia"/>
        <s v="Jordan"/>
        <s v="China"/>
        <s v="United Arab Emirates"/>
      </sharedItems>
    </cacheField>
    <cacheField name="Age" numFmtId="0">
      <sharedItems containsSemiMixedTypes="0" containsString="0" containsNumber="1" containsInteger="1" minValue="20" maxValue="45" count="13">
        <n v="20"/>
        <n v="24"/>
        <n v="25"/>
        <n v="23"/>
        <n v="28"/>
        <n v="29"/>
        <n v="40"/>
        <n v="34"/>
        <n v="38"/>
        <n v="45"/>
        <n v="35"/>
        <n v="37"/>
        <n v="26"/>
      </sharedItems>
    </cacheField>
    <cacheField name="Income" numFmtId="168">
      <sharedItems containsSemiMixedTypes="0" containsString="0" containsNumber="1" containsInteger="1" minValue="1000000" maxValue="15000000"/>
    </cacheField>
    <cacheField name="Project" numFmtId="0">
      <sharedItems count="7">
        <s v="Cat"/>
        <s v="Dog"/>
        <s v="Wolf"/>
        <s v="Tiger"/>
        <s v="Cheetah"/>
        <s v="Lion"/>
        <s v="Giraffe"/>
      </sharedItems>
    </cacheField>
    <cacheField name="Deadline" numFmtId="14">
      <sharedItems containsSemiMixedTypes="0" containsNonDate="0" containsDate="1" containsString="0" minDate="2023-09-29T00:00:00" maxDate="2024-04-08T00:00:00" count="7">
        <d v="2023-09-29T00:00:00"/>
        <d v="2023-10-30T00:00:00"/>
        <d v="2024-01-01T00:00:00"/>
        <d v="2024-02-02T00:00:00"/>
        <d v="2024-03-05T00:00:00"/>
        <d v="2024-04-06T00:00:00"/>
        <d v="2024-04-07T00:00:00"/>
      </sharedItems>
      <fieldGroup par="10"/>
    </cacheField>
    <cacheField name="Individual deadline" numFmtId="14">
      <sharedItems containsSemiMixedTypes="0" containsNonDate="0" containsDate="1" containsString="0" minDate="2023-03-29T00:00:00" maxDate="2024-02-07T00:00:00" count="15">
        <d v="2023-05-29T00:00:00"/>
        <d v="2023-06-30T00:00:00"/>
        <d v="2023-09-01T00:00:00"/>
        <d v="2023-10-02T00:00:00"/>
        <d v="2023-11-05T00:00:00"/>
        <d v="2023-12-06T00:00:00"/>
        <d v="2023-12-07T00:00:00"/>
        <d v="2023-03-29T00:00:00"/>
        <d v="2023-09-02T00:00:00"/>
        <d v="2024-02-06T00:00:00"/>
        <d v="2023-08-01T00:00:00"/>
        <d v="2023-12-01T00:00:00"/>
        <d v="2023-08-05T00:00:00"/>
        <d v="2023-03-30T00:00:00"/>
        <d v="2023-05-01T00:00:00"/>
      </sharedItems>
    </cacheField>
    <cacheField name="Months (Deadline)" numFmtId="0" databaseField="0">
      <fieldGroup base="6">
        <rangePr groupBy="months" startDate="2023-09-29T00:00:00" endDate="2024-04-08T00:00:00"/>
        <groupItems count="14">
          <s v="&lt;9/29/2023"/>
          <s v="Jan"/>
          <s v="Feb"/>
          <s v="Mar"/>
          <s v="Apr"/>
          <s v="May"/>
          <s v="Jun"/>
          <s v="Jul"/>
          <s v="Aug"/>
          <s v="Sep"/>
          <s v="Oct"/>
          <s v="Nov"/>
          <s v="Dec"/>
          <s v="&gt;4/8/2024"/>
        </groupItems>
      </fieldGroup>
    </cacheField>
    <cacheField name="Quarters (Deadline)" numFmtId="0" databaseField="0">
      <fieldGroup base="6">
        <rangePr groupBy="quarters" startDate="2023-09-29T00:00:00" endDate="2024-04-08T00:00:00"/>
        <groupItems count="6">
          <s v="&lt;9/29/2023"/>
          <s v="Qtr1"/>
          <s v="Qtr2"/>
          <s v="Qtr3"/>
          <s v="Qtr4"/>
          <s v="&gt;4/8/2024"/>
        </groupItems>
      </fieldGroup>
    </cacheField>
    <cacheField name="Years (Deadline)" numFmtId="0" databaseField="0">
      <fieldGroup base="6">
        <rangePr groupBy="years" startDate="2023-09-29T00:00:00" endDate="2024-04-08T00:00:00"/>
        <groupItems count="4">
          <s v="&lt;9/29/2023"/>
          <s v="2023"/>
          <s v="2024"/>
          <s v="&gt;4/8/2024"/>
        </groupItems>
      </fieldGroup>
    </cacheField>
  </cacheFields>
  <extLst>
    <ext xmlns:x14="http://schemas.microsoft.com/office/spreadsheetml/2009/9/main" uri="{725AE2AE-9491-48be-B2B4-4EB974FC3084}">
      <x14:pivotCacheDefinition pivotCacheId="32670982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d v="2023-01-01T00:00:00"/>
    <x v="0"/>
    <n v="87"/>
  </r>
  <r>
    <d v="2023-01-02T00:00:00"/>
    <x v="1"/>
    <n v="46"/>
  </r>
  <r>
    <d v="2023-01-03T00:00:00"/>
    <x v="1"/>
    <n v="53"/>
  </r>
  <r>
    <d v="2023-01-04T00:00:00"/>
    <x v="1"/>
    <n v="120"/>
  </r>
  <r>
    <d v="2023-01-05T00:00:00"/>
    <x v="1"/>
    <n v="96"/>
  </r>
  <r>
    <d v="2023-01-06T00:00:00"/>
    <x v="0"/>
    <n v="90"/>
  </r>
  <r>
    <d v="2023-01-07T00:00:00"/>
    <x v="0"/>
    <n v="63"/>
  </r>
  <r>
    <d v="2023-01-08T00:00:00"/>
    <x v="0"/>
    <n v="132"/>
  </r>
  <r>
    <d v="2023-01-09T00:00:00"/>
    <x v="2"/>
    <n v="108"/>
  </r>
  <r>
    <d v="2023-01-10T00:00:00"/>
    <x v="2"/>
    <n v="149"/>
  </r>
  <r>
    <d v="2023-01-11T00:00:00"/>
    <x v="2"/>
    <n v="93"/>
  </r>
  <r>
    <d v="2023-01-12T00:00:00"/>
    <x v="2"/>
    <n v="42"/>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n v="1"/>
    <x v="0"/>
    <x v="0"/>
    <n v="20"/>
    <n v="1000000"/>
    <s v="Cat"/>
    <x v="0"/>
    <x v="0"/>
  </r>
  <r>
    <n v="2"/>
    <x v="1"/>
    <x v="1"/>
    <n v="24"/>
    <n v="2000000"/>
    <s v="Dog"/>
    <x v="1"/>
    <x v="1"/>
  </r>
  <r>
    <n v="3"/>
    <x v="2"/>
    <x v="2"/>
    <n v="25"/>
    <n v="3000000"/>
    <s v="Wolf"/>
    <x v="2"/>
    <x v="2"/>
  </r>
  <r>
    <n v="4"/>
    <x v="3"/>
    <x v="3"/>
    <n v="23"/>
    <n v="4000000"/>
    <s v="Tiger"/>
    <x v="3"/>
    <x v="3"/>
  </r>
  <r>
    <n v="5"/>
    <x v="4"/>
    <x v="4"/>
    <n v="28"/>
    <n v="5000000"/>
    <s v="Cheetah"/>
    <x v="4"/>
    <x v="4"/>
  </r>
  <r>
    <n v="6"/>
    <x v="5"/>
    <x v="5"/>
    <n v="29"/>
    <n v="6000000"/>
    <s v="Lion"/>
    <x v="5"/>
    <x v="5"/>
  </r>
  <r>
    <n v="7"/>
    <x v="6"/>
    <x v="6"/>
    <n v="40"/>
    <n v="7000000"/>
    <s v="Giraffe"/>
    <x v="6"/>
    <x v="6"/>
  </r>
  <r>
    <n v="8"/>
    <x v="7"/>
    <x v="0"/>
    <n v="34"/>
    <n v="8000000"/>
    <s v="Cat"/>
    <x v="0"/>
    <x v="7"/>
  </r>
  <r>
    <n v="9"/>
    <x v="8"/>
    <x v="2"/>
    <n v="38"/>
    <n v="9000000"/>
    <s v="Tiger"/>
    <x v="3"/>
    <x v="8"/>
  </r>
  <r>
    <n v="10"/>
    <x v="9"/>
    <x v="2"/>
    <n v="45"/>
    <n v="10000000"/>
    <s v="Lion"/>
    <x v="5"/>
    <x v="9"/>
  </r>
  <r>
    <n v="11"/>
    <x v="10"/>
    <x v="4"/>
    <n v="35"/>
    <n v="11000000"/>
    <s v="Wolf"/>
    <x v="2"/>
    <x v="10"/>
  </r>
  <r>
    <n v="12"/>
    <x v="11"/>
    <x v="7"/>
    <n v="37"/>
    <n v="12000000"/>
    <s v="Wolf"/>
    <x v="2"/>
    <x v="11"/>
  </r>
  <r>
    <n v="13"/>
    <x v="12"/>
    <x v="4"/>
    <n v="26"/>
    <n v="13000000"/>
    <s v="Cheetah"/>
    <x v="4"/>
    <x v="12"/>
  </r>
  <r>
    <n v="14"/>
    <x v="13"/>
    <x v="8"/>
    <n v="25"/>
    <n v="14000000"/>
    <s v="Dog"/>
    <x v="1"/>
    <x v="13"/>
  </r>
  <r>
    <n v="15"/>
    <x v="14"/>
    <x v="6"/>
    <n v="29"/>
    <n v="15000000"/>
    <s v="Wolf"/>
    <x v="2"/>
    <x v="14"/>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x v="0"/>
    <n v="65924.67"/>
    <x v="0"/>
    <x v="0"/>
    <x v="0"/>
    <x v="0"/>
    <n v="5.3E-3"/>
  </r>
  <r>
    <x v="1"/>
    <x v="1"/>
    <n v="65585.279999999999"/>
    <x v="1"/>
    <x v="1"/>
    <x v="1"/>
    <x v="1"/>
    <n v="2.3999999999999998E-3"/>
  </r>
  <r>
    <x v="2"/>
    <x v="2"/>
    <n v="66185.039999999994"/>
    <x v="2"/>
    <x v="2"/>
    <x v="2"/>
    <x v="2"/>
    <n v="-1.4E-3"/>
  </r>
  <r>
    <x v="3"/>
    <x v="3"/>
    <n v="65567.61"/>
    <x v="3"/>
    <x v="3"/>
    <x v="3"/>
    <x v="3"/>
    <n v="1E-4"/>
  </r>
  <r>
    <x v="4"/>
    <x v="4"/>
    <n v="65672.679999999993"/>
    <x v="4"/>
    <x v="4"/>
    <x v="4"/>
    <x v="4"/>
    <n v="4.4000000000000003E-3"/>
  </r>
  <r>
    <x v="5"/>
    <x v="5"/>
    <n v="65202.41"/>
    <x v="5"/>
    <x v="5"/>
    <x v="5"/>
    <x v="5"/>
    <n v="7.1000000000000004E-3"/>
  </r>
  <r>
    <x v="6"/>
    <x v="6"/>
    <n v="64784.47"/>
    <x v="6"/>
    <x v="6"/>
    <x v="6"/>
    <x v="0"/>
    <n v="1.1999999999999999E-3"/>
  </r>
  <r>
    <x v="7"/>
    <x v="7"/>
    <n v="64663.78"/>
    <x v="7"/>
    <x v="7"/>
    <x v="7"/>
    <x v="2"/>
    <n v="5.9999999999999995E-4"/>
  </r>
  <r>
    <x v="8"/>
    <x v="8"/>
    <n v="65128.21"/>
    <x v="8"/>
    <x v="8"/>
    <x v="8"/>
    <x v="2"/>
    <n v="-4.7000000000000002E-3"/>
  </r>
  <r>
    <x v="9"/>
    <x v="9"/>
    <n v="65028.46"/>
    <x v="9"/>
    <x v="9"/>
    <x v="9"/>
    <x v="2"/>
    <n v="-4.3E-3"/>
  </r>
  <r>
    <x v="10"/>
    <x v="10"/>
    <n v="65358.76"/>
    <x v="10"/>
    <x v="10"/>
    <x v="10"/>
    <x v="3"/>
    <n v="-1.8E-3"/>
  </r>
  <r>
    <x v="11"/>
    <x v="11"/>
    <n v="65352.7"/>
    <x v="11"/>
    <x v="11"/>
    <x v="11"/>
    <x v="3"/>
    <n v="1.8E-3"/>
  </r>
  <r>
    <x v="12"/>
    <x v="12"/>
    <n v="65205.35"/>
    <x v="12"/>
    <x v="12"/>
    <x v="12"/>
    <x v="4"/>
    <n v="1.6199999999999999E-2"/>
  </r>
  <r>
    <x v="13"/>
    <x v="13"/>
    <n v="65396.93"/>
    <x v="13"/>
    <x v="13"/>
    <x v="13"/>
    <x v="4"/>
    <n v="-1.7500000000000002E-2"/>
  </r>
  <r>
    <x v="14"/>
    <x v="14"/>
    <n v="65393.68"/>
    <x v="14"/>
    <x v="14"/>
    <x v="14"/>
    <x v="5"/>
    <n v="-4.0000000000000002E-4"/>
  </r>
  <r>
    <x v="15"/>
    <x v="15"/>
    <n v="65340.27"/>
    <x v="15"/>
    <x v="15"/>
    <x v="15"/>
    <x v="1"/>
    <n v="2.0999999999999999E-3"/>
  </r>
  <r>
    <x v="16"/>
    <x v="16"/>
    <n v="65309.66"/>
    <x v="16"/>
    <x v="16"/>
    <x v="16"/>
    <x v="5"/>
    <n v="-1E-3"/>
  </r>
  <r>
    <x v="17"/>
    <x v="17"/>
    <n v="65323.199999999997"/>
    <x v="17"/>
    <x v="17"/>
    <x v="17"/>
    <x v="0"/>
    <n v="1.55E-2"/>
  </r>
  <r>
    <x v="18"/>
    <x v="18"/>
    <n v="64301.59"/>
    <x v="18"/>
    <x v="18"/>
    <x v="18"/>
    <x v="0"/>
    <n v="1.1999999999999999E-3"/>
  </r>
  <r>
    <x v="19"/>
    <x v="19"/>
    <n v="64340.24"/>
    <x v="19"/>
    <x v="19"/>
    <x v="19"/>
    <x v="3"/>
    <n v="-2.3E-3"/>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n v="1"/>
    <x v="0"/>
    <x v="0"/>
    <x v="0"/>
    <n v="1000000"/>
    <x v="0"/>
    <x v="0"/>
    <x v="0"/>
  </r>
  <r>
    <n v="2"/>
    <x v="1"/>
    <x v="1"/>
    <x v="1"/>
    <n v="2000000"/>
    <x v="1"/>
    <x v="1"/>
    <x v="1"/>
  </r>
  <r>
    <n v="3"/>
    <x v="2"/>
    <x v="2"/>
    <x v="2"/>
    <n v="3000000"/>
    <x v="2"/>
    <x v="2"/>
    <x v="2"/>
  </r>
  <r>
    <n v="4"/>
    <x v="3"/>
    <x v="3"/>
    <x v="3"/>
    <n v="4000000"/>
    <x v="3"/>
    <x v="3"/>
    <x v="3"/>
  </r>
  <r>
    <n v="5"/>
    <x v="4"/>
    <x v="4"/>
    <x v="4"/>
    <n v="5000000"/>
    <x v="4"/>
    <x v="4"/>
    <x v="4"/>
  </r>
  <r>
    <n v="6"/>
    <x v="5"/>
    <x v="5"/>
    <x v="5"/>
    <n v="6000000"/>
    <x v="5"/>
    <x v="5"/>
    <x v="5"/>
  </r>
  <r>
    <n v="7"/>
    <x v="6"/>
    <x v="6"/>
    <x v="6"/>
    <n v="7000000"/>
    <x v="6"/>
    <x v="6"/>
    <x v="6"/>
  </r>
  <r>
    <n v="8"/>
    <x v="7"/>
    <x v="0"/>
    <x v="7"/>
    <n v="8000000"/>
    <x v="0"/>
    <x v="0"/>
    <x v="7"/>
  </r>
  <r>
    <n v="9"/>
    <x v="8"/>
    <x v="2"/>
    <x v="8"/>
    <n v="9000000"/>
    <x v="3"/>
    <x v="3"/>
    <x v="8"/>
  </r>
  <r>
    <n v="10"/>
    <x v="9"/>
    <x v="2"/>
    <x v="9"/>
    <n v="10000000"/>
    <x v="5"/>
    <x v="5"/>
    <x v="9"/>
  </r>
  <r>
    <n v="11"/>
    <x v="10"/>
    <x v="4"/>
    <x v="10"/>
    <n v="11000000"/>
    <x v="2"/>
    <x v="2"/>
    <x v="10"/>
  </r>
  <r>
    <n v="12"/>
    <x v="11"/>
    <x v="7"/>
    <x v="11"/>
    <n v="12000000"/>
    <x v="2"/>
    <x v="2"/>
    <x v="11"/>
  </r>
  <r>
    <n v="13"/>
    <x v="12"/>
    <x v="4"/>
    <x v="12"/>
    <n v="13000000"/>
    <x v="4"/>
    <x v="4"/>
    <x v="12"/>
  </r>
  <r>
    <n v="14"/>
    <x v="13"/>
    <x v="8"/>
    <x v="2"/>
    <n v="14000000"/>
    <x v="1"/>
    <x v="1"/>
    <x v="13"/>
  </r>
  <r>
    <n v="15"/>
    <x v="14"/>
    <x v="6"/>
    <x v="5"/>
    <n v="15000000"/>
    <x v="2"/>
    <x v="2"/>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832B14A-E524-45BF-8F6A-BF0451DD0815}" name="PivotTable3" cacheId="57"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P4:V9" firstHeaderRow="1" firstDataRow="4" firstDataCol="1" rowPageCount="1" colPageCount="1"/>
  <pivotFields count="9">
    <pivotField compact="0" numFmtId="15" outline="0" showAll="0"/>
    <pivotField axis="axisCol" compact="0" numFmtId="4" outline="0" showAll="0">
      <items count="21">
        <item x="12"/>
        <item x="18"/>
        <item x="17"/>
        <item x="19"/>
        <item x="6"/>
        <item x="7"/>
        <item x="5"/>
        <item x="8"/>
        <item x="9"/>
        <item x="15"/>
        <item x="4"/>
        <item x="11"/>
        <item x="16"/>
        <item x="10"/>
        <item x="14"/>
        <item x="13"/>
        <item x="1"/>
        <item x="3"/>
        <item x="2"/>
        <item x="0"/>
        <item t="default"/>
      </items>
    </pivotField>
    <pivotField compact="0" numFmtId="4" outline="0" showAll="0"/>
    <pivotField axis="axisPage" compact="0" numFmtId="4" outline="0" showAll="0">
      <items count="21">
        <item x="18"/>
        <item x="19"/>
        <item x="12"/>
        <item x="13"/>
        <item x="17"/>
        <item x="6"/>
        <item x="7"/>
        <item x="8"/>
        <item x="5"/>
        <item x="9"/>
        <item x="16"/>
        <item x="10"/>
        <item x="11"/>
        <item x="4"/>
        <item x="15"/>
        <item x="14"/>
        <item x="2"/>
        <item x="1"/>
        <item x="3"/>
        <item x="0"/>
        <item t="default"/>
      </items>
    </pivotField>
    <pivotField compact="0" numFmtId="4" outline="0" showAll="0">
      <items count="21">
        <item x="13"/>
        <item x="19"/>
        <item x="18"/>
        <item x="8"/>
        <item x="7"/>
        <item x="6"/>
        <item x="9"/>
        <item x="16"/>
        <item x="5"/>
        <item x="12"/>
        <item x="10"/>
        <item x="17"/>
        <item x="14"/>
        <item x="11"/>
        <item x="15"/>
        <item x="2"/>
        <item x="4"/>
        <item x="3"/>
        <item x="1"/>
        <item x="0"/>
        <item t="default"/>
      </items>
    </pivotField>
    <pivotField axis="axisCol" compact="0" outline="0" showAll="0">
      <items count="21">
        <item x="5"/>
        <item h="1" x="13"/>
        <item h="1" x="10"/>
        <item h="1" x="9"/>
        <item h="1" x="8"/>
        <item h="1" x="4"/>
        <item h="1" x="14"/>
        <item h="1" x="7"/>
        <item h="1" x="18"/>
        <item h="1" x="15"/>
        <item h="1" x="3"/>
        <item h="1" x="1"/>
        <item h="1" x="12"/>
        <item h="1" x="16"/>
        <item h="1" x="17"/>
        <item h="1" x="11"/>
        <item h="1" x="6"/>
        <item h="1" x="2"/>
        <item h="1" x="19"/>
        <item h="1" x="0"/>
        <item t="default"/>
      </items>
    </pivotField>
    <pivotField axis="axisRow" compact="0" outline="0" showAll="0">
      <items count="7">
        <item h="1" x="1"/>
        <item x="0"/>
        <item x="4"/>
        <item h="1" x="2"/>
        <item x="3"/>
        <item x="5"/>
        <item t="default"/>
      </items>
    </pivotField>
    <pivotField dataField="1" compact="0" numFmtId="10" outline="0" showAll="0"/>
    <pivotField dataField="1" compact="0" outline="0" dragToRow="0" dragToCol="0" dragToPage="0" showAll="0" defaultSubtotal="0"/>
  </pivotFields>
  <rowFields count="1">
    <field x="6"/>
  </rowFields>
  <rowItems count="2">
    <i>
      <x v="5"/>
    </i>
    <i t="grand">
      <x/>
    </i>
  </rowItems>
  <colFields count="3">
    <field x="5"/>
    <field x="1"/>
    <field x="-2"/>
  </colFields>
  <colItems count="6">
    <i>
      <x/>
      <x v="6"/>
      <x/>
    </i>
    <i r="2" i="1">
      <x v="1"/>
    </i>
    <i t="default">
      <x/>
    </i>
    <i t="default" i="1">
      <x/>
    </i>
    <i t="grand">
      <x/>
    </i>
    <i t="grand" i="1">
      <x/>
    </i>
  </colItems>
  <pageFields count="1">
    <pageField fld="3" hier="-1"/>
  </pageFields>
  <dataFields count="2">
    <dataField name="Sum of Chg%" fld="7" baseField="0" baseItem="0"/>
    <dataField name="Sum of Difference" fld="8" baseField="0"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B6B9E43-2837-461A-A5C9-C72F662CE959}" name="PivotTable5" cacheId="5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Q63:R124" firstHeaderRow="1" firstDataRow="1" firstDataCol="1"/>
  <pivotFields count="9">
    <pivotField axis="axisRow" numFmtId="15" showAll="0">
      <items count="21">
        <item x="19"/>
        <item x="18"/>
        <item x="17"/>
        <item x="16"/>
        <item x="15"/>
        <item x="14"/>
        <item x="13"/>
        <item x="12"/>
        <item x="11"/>
        <item x="10"/>
        <item x="9"/>
        <item x="8"/>
        <item x="7"/>
        <item x="6"/>
        <item x="5"/>
        <item x="4"/>
        <item x="3"/>
        <item x="2"/>
        <item x="1"/>
        <item x="0"/>
        <item t="default"/>
      </items>
    </pivotField>
    <pivotField dataField="1" numFmtId="4" showAll="0"/>
    <pivotField numFmtId="4" showAll="0"/>
    <pivotField numFmtId="4" showAll="0"/>
    <pivotField numFmtId="4" showAll="0"/>
    <pivotField axis="axisRow" showAll="0">
      <items count="21">
        <item x="5"/>
        <item x="13"/>
        <item x="10"/>
        <item x="9"/>
        <item x="8"/>
        <item x="4"/>
        <item x="14"/>
        <item x="7"/>
        <item x="18"/>
        <item x="15"/>
        <item x="3"/>
        <item x="1"/>
        <item x="12"/>
        <item x="16"/>
        <item x="17"/>
        <item x="11"/>
        <item x="6"/>
        <item x="2"/>
        <item x="19"/>
        <item x="0"/>
        <item t="default"/>
      </items>
    </pivotField>
    <pivotField axis="axisRow" showAll="0">
      <items count="7">
        <item x="1"/>
        <item x="0"/>
        <item x="4"/>
        <item x="2"/>
        <item x="3"/>
        <item x="5"/>
        <item t="default"/>
      </items>
    </pivotField>
    <pivotField numFmtId="10" showAll="0"/>
    <pivotField dragToRow="0" dragToCol="0" dragToPage="0" showAll="0" defaultSubtotal="0"/>
  </pivotFields>
  <rowFields count="3">
    <field x="0"/>
    <field x="5"/>
    <field x="6"/>
  </rowFields>
  <rowItems count="61">
    <i>
      <x/>
    </i>
    <i r="1">
      <x v="18"/>
    </i>
    <i r="2">
      <x v="4"/>
    </i>
    <i>
      <x v="1"/>
    </i>
    <i r="1">
      <x v="8"/>
    </i>
    <i r="2">
      <x v="1"/>
    </i>
    <i>
      <x v="2"/>
    </i>
    <i r="1">
      <x v="14"/>
    </i>
    <i r="2">
      <x v="1"/>
    </i>
    <i>
      <x v="3"/>
    </i>
    <i r="1">
      <x v="13"/>
    </i>
    <i r="2">
      <x v="5"/>
    </i>
    <i>
      <x v="4"/>
    </i>
    <i r="1">
      <x v="9"/>
    </i>
    <i r="2">
      <x/>
    </i>
    <i>
      <x v="5"/>
    </i>
    <i r="1">
      <x v="6"/>
    </i>
    <i r="2">
      <x v="5"/>
    </i>
    <i>
      <x v="6"/>
    </i>
    <i r="1">
      <x v="1"/>
    </i>
    <i r="2">
      <x v="2"/>
    </i>
    <i>
      <x v="7"/>
    </i>
    <i r="1">
      <x v="12"/>
    </i>
    <i r="2">
      <x v="2"/>
    </i>
    <i>
      <x v="8"/>
    </i>
    <i r="1">
      <x v="15"/>
    </i>
    <i r="2">
      <x v="4"/>
    </i>
    <i>
      <x v="9"/>
    </i>
    <i r="1">
      <x v="2"/>
    </i>
    <i r="2">
      <x v="4"/>
    </i>
    <i>
      <x v="10"/>
    </i>
    <i r="1">
      <x v="3"/>
    </i>
    <i r="2">
      <x v="3"/>
    </i>
    <i>
      <x v="11"/>
    </i>
    <i r="1">
      <x v="4"/>
    </i>
    <i r="2">
      <x v="3"/>
    </i>
    <i>
      <x v="12"/>
    </i>
    <i r="1">
      <x v="7"/>
    </i>
    <i r="2">
      <x v="3"/>
    </i>
    <i>
      <x v="13"/>
    </i>
    <i r="1">
      <x v="16"/>
    </i>
    <i r="2">
      <x v="1"/>
    </i>
    <i>
      <x v="14"/>
    </i>
    <i r="1">
      <x/>
    </i>
    <i r="2">
      <x v="5"/>
    </i>
    <i>
      <x v="15"/>
    </i>
    <i r="1">
      <x v="5"/>
    </i>
    <i r="2">
      <x v="2"/>
    </i>
    <i>
      <x v="16"/>
    </i>
    <i r="1">
      <x v="10"/>
    </i>
    <i r="2">
      <x v="4"/>
    </i>
    <i>
      <x v="17"/>
    </i>
    <i r="1">
      <x v="17"/>
    </i>
    <i r="2">
      <x v="3"/>
    </i>
    <i>
      <x v="18"/>
    </i>
    <i r="1">
      <x v="11"/>
    </i>
    <i r="2">
      <x/>
    </i>
    <i>
      <x v="19"/>
    </i>
    <i r="1">
      <x v="19"/>
    </i>
    <i r="2">
      <x v="1"/>
    </i>
    <i t="grand">
      <x/>
    </i>
  </rowItems>
  <colItems count="1">
    <i/>
  </colItems>
  <dataFields count="1">
    <dataField name="Sum of Open" fld="1" baseField="0" baseItem="0"/>
  </dataFields>
  <chartFormats count="1">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A751DBD-848E-4565-BD0E-0A57D6FAE662}" name="PivotTable3" cacheId="6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H28:K45" firstHeaderRow="0" firstDataRow="1" firstDataCol="1" rowPageCount="2" colPageCount="1"/>
  <pivotFields count="11">
    <pivotField showAll="0"/>
    <pivotField axis="axisRow" showAll="0">
      <items count="16">
        <item x="7"/>
        <item sd="0" x="8"/>
        <item sd="0" x="14"/>
        <item sd="0" x="10"/>
        <item sd="0" x="13"/>
        <item sd="0" x="9"/>
        <item sd="0" x="12"/>
        <item sd="0" x="0"/>
        <item sd="0" x="1"/>
        <item sd="0" x="2"/>
        <item sd="0" x="3"/>
        <item sd="0" x="11"/>
        <item sd="0" x="4"/>
        <item sd="0" x="5"/>
        <item sd="0" x="6"/>
        <item t="default"/>
      </items>
    </pivotField>
    <pivotField axis="axisPage" showAll="0">
      <items count="10">
        <item x="7"/>
        <item x="5"/>
        <item x="0"/>
        <item x="1"/>
        <item x="6"/>
        <item x="3"/>
        <item x="2"/>
        <item x="4"/>
        <item x="8"/>
        <item t="default"/>
      </items>
    </pivotField>
    <pivotField dataField="1" showAll="0">
      <items count="14">
        <item x="0"/>
        <item x="3"/>
        <item x="1"/>
        <item x="2"/>
        <item x="12"/>
        <item x="4"/>
        <item x="5"/>
        <item x="7"/>
        <item x="10"/>
        <item x="11"/>
        <item x="8"/>
        <item x="6"/>
        <item x="9"/>
        <item t="default"/>
      </items>
    </pivotField>
    <pivotField dataField="1" numFmtId="168" showAll="0"/>
    <pivotField axis="axisRow" showAll="0">
      <items count="8">
        <item x="0"/>
        <item x="4"/>
        <item x="1"/>
        <item h="1" x="6"/>
        <item h="1" x="5"/>
        <item x="3"/>
        <item x="2"/>
        <item t="default"/>
      </items>
    </pivotField>
    <pivotField axis="axisPage" numFmtId="14" showAll="0">
      <items count="8">
        <item x="0"/>
        <item x="1"/>
        <item x="2"/>
        <item x="3"/>
        <item x="4"/>
        <item x="5"/>
        <item x="6"/>
        <item t="default"/>
      </items>
    </pivotField>
    <pivotField dataField="1" numFmtId="14" showAll="0">
      <items count="16">
        <item x="7"/>
        <item x="13"/>
        <item x="14"/>
        <item x="0"/>
        <item x="1"/>
        <item h="1" x="10"/>
        <item x="12"/>
        <item x="2"/>
        <item x="8"/>
        <item x="3"/>
        <item x="4"/>
        <item x="11"/>
        <item x="5"/>
        <item x="6"/>
        <item x="9"/>
        <item t="default"/>
      </items>
    </pivotField>
    <pivotField showAll="0">
      <items count="15">
        <item sd="0" x="0"/>
        <item sd="0" x="1"/>
        <item sd="0" x="2"/>
        <item sd="0" x="3"/>
        <item sd="0" x="4"/>
        <item sd="0" x="5"/>
        <item sd="0" x="6"/>
        <item sd="0" x="7"/>
        <item sd="0" x="8"/>
        <item x="9"/>
        <item sd="0" x="10"/>
        <item sd="0" x="11"/>
        <item sd="0" x="12"/>
        <item sd="0" x="13"/>
        <item t="default"/>
      </items>
    </pivotField>
    <pivotField showAll="0">
      <items count="7">
        <item sd="0" x="0"/>
        <item sd="0" x="1"/>
        <item sd="0" x="2"/>
        <item x="3"/>
        <item sd="0" x="4"/>
        <item sd="0" x="5"/>
        <item t="default"/>
      </items>
    </pivotField>
    <pivotField showAll="0">
      <items count="5">
        <item sd="0" x="0"/>
        <item x="1"/>
        <item sd="0" x="2"/>
        <item sd="0" x="3"/>
        <item t="default"/>
      </items>
    </pivotField>
  </pivotFields>
  <rowFields count="2">
    <field x="5"/>
    <field x="1"/>
  </rowFields>
  <rowItems count="17">
    <i>
      <x/>
    </i>
    <i r="1">
      <x/>
    </i>
    <i r="1">
      <x v="7"/>
    </i>
    <i>
      <x v="1"/>
    </i>
    <i r="1">
      <x v="6"/>
    </i>
    <i r="1">
      <x v="12"/>
    </i>
    <i>
      <x v="2"/>
    </i>
    <i r="1">
      <x v="4"/>
    </i>
    <i r="1">
      <x v="8"/>
    </i>
    <i>
      <x v="5"/>
    </i>
    <i r="1">
      <x v="1"/>
    </i>
    <i r="1">
      <x v="10"/>
    </i>
    <i>
      <x v="6"/>
    </i>
    <i r="1">
      <x v="2"/>
    </i>
    <i r="1">
      <x v="9"/>
    </i>
    <i r="1">
      <x v="11"/>
    </i>
    <i t="grand">
      <x/>
    </i>
  </rowItems>
  <colFields count="1">
    <field x="-2"/>
  </colFields>
  <colItems count="3">
    <i>
      <x/>
    </i>
    <i i="1">
      <x v="1"/>
    </i>
    <i i="2">
      <x v="2"/>
    </i>
  </colItems>
  <pageFields count="2">
    <pageField fld="6" hier="-1"/>
    <pageField fld="2" hier="-1"/>
  </pageFields>
  <dataFields count="3">
    <dataField name="Max of Income" fld="4" subtotal="max" baseField="1" baseItem="0" numFmtId="2"/>
    <dataField name="Min of Individual deadline" fld="7" subtotal="min" baseField="5" baseItem="0" numFmtId="14"/>
    <dataField name="Max of Age" fld="3" subtotal="max" baseField="5" baseItem="0"/>
  </dataFields>
  <chartFormats count="6">
    <chartFormat chart="0" format="52" series="1">
      <pivotArea type="data" outline="0" fieldPosition="0">
        <references count="1">
          <reference field="4294967294" count="1" selected="0">
            <x v="0"/>
          </reference>
        </references>
      </pivotArea>
    </chartFormat>
    <chartFormat chart="0" format="53" series="1">
      <pivotArea type="data" outline="0" fieldPosition="0">
        <references count="1">
          <reference field="4294967294" count="1" selected="0">
            <x v="2"/>
          </reference>
        </references>
      </pivotArea>
    </chartFormat>
    <chartFormat chart="0" format="58" series="1">
      <pivotArea type="data" outline="0" fieldPosition="0">
        <references count="1">
          <reference field="4294967294" count="1" selected="0">
            <x v="1"/>
          </reference>
        </references>
      </pivotArea>
    </chartFormat>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A593D26-6836-4F99-B288-938DC5CB2AFF}" name="PivotTable4" cacheId="4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B35" firstHeaderRow="1" firstDataRow="1" firstDataCol="1" rowPageCount="1" colPageCount="1"/>
  <pivotFields count="14">
    <pivotField showAll="0"/>
    <pivotField axis="axisRow" showAll="0">
      <items count="16">
        <item x="7"/>
        <item x="8"/>
        <item x="14"/>
        <item x="10"/>
        <item x="13"/>
        <item x="9"/>
        <item x="12"/>
        <item x="0"/>
        <item x="1"/>
        <item x="2"/>
        <item x="3"/>
        <item x="11"/>
        <item x="4"/>
        <item x="5"/>
        <item x="6"/>
        <item t="default"/>
      </items>
    </pivotField>
    <pivotField axis="axisPage" showAll="0">
      <items count="10">
        <item x="7"/>
        <item x="5"/>
        <item x="0"/>
        <item x="1"/>
        <item x="6"/>
        <item x="3"/>
        <item x="2"/>
        <item x="4"/>
        <item x="8"/>
        <item t="default"/>
      </items>
    </pivotField>
    <pivotField dataField="1" showAll="0"/>
    <pivotField numFmtId="168" showAll="0"/>
    <pivotField showAll="0"/>
    <pivotField numFmtId="14" showAll="0">
      <items count="8">
        <item x="0"/>
        <item x="1"/>
        <item x="2"/>
        <item x="3"/>
        <item x="4"/>
        <item x="5"/>
        <item x="6"/>
        <item t="default"/>
      </items>
    </pivotField>
    <pivotField numFmtId="14" showAll="0">
      <items count="16">
        <item x="7"/>
        <item x="13"/>
        <item x="14"/>
        <item x="0"/>
        <item x="1"/>
        <item x="10"/>
        <item x="12"/>
        <item x="2"/>
        <item x="8"/>
        <item x="3"/>
        <item x="4"/>
        <item x="11"/>
        <item x="5"/>
        <item x="6"/>
        <item x="9"/>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5">
        <item sd="0" x="0"/>
        <item sd="0" x="1"/>
        <item sd="0" x="2"/>
        <item sd="0" x="3"/>
        <item t="default"/>
      </items>
    </pivotField>
    <pivotField axis="axisRow" showAll="0">
      <items count="15">
        <item x="0"/>
        <item x="1"/>
        <item x="2"/>
        <item x="3"/>
        <item x="4"/>
        <item x="5"/>
        <item x="6"/>
        <item x="7"/>
        <item x="8"/>
        <item x="9"/>
        <item x="10"/>
        <item x="11"/>
        <item x="12"/>
        <item x="13"/>
        <item t="default"/>
      </items>
    </pivotField>
    <pivotField axis="axisRow" showAll="0">
      <items count="7">
        <item x="0"/>
        <item x="1"/>
        <item x="2"/>
        <item x="3"/>
        <item x="4"/>
        <item x="5"/>
        <item t="default"/>
      </items>
    </pivotField>
    <pivotField axis="axisRow" showAll="0">
      <items count="5">
        <item x="0"/>
        <item x="1"/>
        <item x="2"/>
        <item x="3"/>
        <item t="default"/>
      </items>
    </pivotField>
  </pivotFields>
  <rowFields count="4">
    <field x="13"/>
    <field x="12"/>
    <field x="11"/>
    <field x="1"/>
  </rowFields>
  <rowItems count="32">
    <i>
      <x v="1"/>
    </i>
    <i r="1">
      <x v="1"/>
    </i>
    <i r="2">
      <x v="3"/>
    </i>
    <i r="3">
      <x/>
    </i>
    <i r="3">
      <x v="4"/>
    </i>
    <i r="1">
      <x v="2"/>
    </i>
    <i r="2">
      <x v="5"/>
    </i>
    <i r="3">
      <x v="2"/>
    </i>
    <i r="3">
      <x v="7"/>
    </i>
    <i r="2">
      <x v="6"/>
    </i>
    <i r="3">
      <x v="8"/>
    </i>
    <i r="1">
      <x v="3"/>
    </i>
    <i r="2">
      <x v="8"/>
    </i>
    <i r="3">
      <x v="3"/>
    </i>
    <i r="3">
      <x v="6"/>
    </i>
    <i r="2">
      <x v="9"/>
    </i>
    <i r="3">
      <x v="1"/>
    </i>
    <i r="3">
      <x v="9"/>
    </i>
    <i r="1">
      <x v="4"/>
    </i>
    <i r="2">
      <x v="10"/>
    </i>
    <i r="3">
      <x v="10"/>
    </i>
    <i r="2">
      <x v="11"/>
    </i>
    <i r="3">
      <x v="12"/>
    </i>
    <i r="2">
      <x v="12"/>
    </i>
    <i r="3">
      <x v="11"/>
    </i>
    <i r="3">
      <x v="13"/>
    </i>
    <i r="3">
      <x v="14"/>
    </i>
    <i>
      <x v="2"/>
    </i>
    <i r="1">
      <x v="1"/>
    </i>
    <i r="2">
      <x v="2"/>
    </i>
    <i r="3">
      <x v="5"/>
    </i>
    <i t="grand">
      <x/>
    </i>
  </rowItems>
  <colItems count="1">
    <i/>
  </colItems>
  <pageFields count="1">
    <pageField fld="2" hier="-1"/>
  </pageFields>
  <dataFields count="1">
    <dataField name="Max of Age" fld="3" subtotal="max" baseField="7" baseItem="0" numFmtId="1"/>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E8C31AE-1227-4D5F-9259-2AC1C30C2451}" name="PivotTable5" cacheId="6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I16:J19" firstHeaderRow="1" firstDataRow="1" firstDataCol="1"/>
  <pivotFields count="3">
    <pivotField numFmtId="15" showAll="0"/>
    <pivotField axis="axisRow" showAll="0">
      <items count="6">
        <item h="1" x="1"/>
        <item x="0"/>
        <item m="1" x="3"/>
        <item h="1" x="2"/>
        <item f="1" x="4"/>
        <item t="default"/>
      </items>
    </pivotField>
    <pivotField dataField="1" showAll="0"/>
  </pivotFields>
  <rowFields count="1">
    <field x="1"/>
  </rowFields>
  <rowItems count="3">
    <i>
      <x v="1"/>
    </i>
    <i>
      <x v="4"/>
    </i>
    <i t="grand">
      <x/>
    </i>
  </rowItems>
  <colItems count="1">
    <i/>
  </colItems>
  <dataFields count="1">
    <dataField name="Sum of Value" fld="2" baseField="1"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_rels/rdRichValueWebImage.xml.rels><?xml version="1.0" encoding="UTF-8" standalone="yes"?>
<Relationships xmlns="http://schemas.openxmlformats.org/package/2006/relationships"><Relationship Id="rId8" Type="http://schemas.openxmlformats.org/officeDocument/2006/relationships/hyperlink" Target="https://www.bing.com/images/search?form=xlimg&amp;q=Mongolia" TargetMode="External"/><Relationship Id="rId13" Type="http://schemas.openxmlformats.org/officeDocument/2006/relationships/hyperlink" Target="https://www.bing.com/th?id=OSK.32ccc3069387813a1cebca9111bc6498&amp;qlt=95" TargetMode="External"/><Relationship Id="rId18" Type="http://schemas.openxmlformats.org/officeDocument/2006/relationships/hyperlink" Target="https://www.bing.com/images/search?form=xlimg&amp;q=United%20Arab%20Emirates" TargetMode="External"/><Relationship Id="rId3" Type="http://schemas.openxmlformats.org/officeDocument/2006/relationships/hyperlink" Target="https://www.bing.com/th?id=OSK.8ebe72baea948e8caf5b6567463e7d0d&amp;qlt=95" TargetMode="External"/><Relationship Id="rId21" Type="http://schemas.openxmlformats.org/officeDocument/2006/relationships/hyperlink" Target="https://www.bing.com/th?id=OSK.0aeae1745f90d6554dcba2bd716fe8fb&amp;qlt=95" TargetMode="External"/><Relationship Id="rId7" Type="http://schemas.openxmlformats.org/officeDocument/2006/relationships/hyperlink" Target="https://www.bing.com/th?id=OSK.e22694cdd7f986bb3ef2c0110d877bba&amp;qlt=95" TargetMode="External"/><Relationship Id="rId12" Type="http://schemas.openxmlformats.org/officeDocument/2006/relationships/hyperlink" Target="https://www.bing.com/images/search?form=xlimg&amp;q=Georgia%20(country)" TargetMode="External"/><Relationship Id="rId17" Type="http://schemas.openxmlformats.org/officeDocument/2006/relationships/hyperlink" Target="https://www.bing.com/th?id=OSK.ffaa47f2f4e92fa19bdb4953fe6f287a&amp;qlt=95" TargetMode="External"/><Relationship Id="rId2" Type="http://schemas.openxmlformats.org/officeDocument/2006/relationships/hyperlink" Target="https://www.bing.com/images/search?form=xlimg&amp;q=India" TargetMode="External"/><Relationship Id="rId16" Type="http://schemas.openxmlformats.org/officeDocument/2006/relationships/hyperlink" Target="https://www.bing.com/images/search?form=xlimg&amp;q=China" TargetMode="External"/><Relationship Id="rId20" Type="http://schemas.openxmlformats.org/officeDocument/2006/relationships/hyperlink" Target="https://www.bing.com/images/search?form=xlimg&amp;q=Vietnam" TargetMode="External"/><Relationship Id="rId1" Type="http://schemas.openxmlformats.org/officeDocument/2006/relationships/hyperlink" Target="https://www.bing.com/th?id=OSK.3386bc8d96f35351f9956787a1c677c6&amp;qlt=95" TargetMode="External"/><Relationship Id="rId6" Type="http://schemas.openxmlformats.org/officeDocument/2006/relationships/hyperlink" Target="https://www.bing.com/images/search?form=xlimg&amp;q=Russia" TargetMode="External"/><Relationship Id="rId11" Type="http://schemas.openxmlformats.org/officeDocument/2006/relationships/hyperlink" Target="https://www.bing.com/th?id=OSK.c550b8301145c16d505c45b5c8026434&amp;qlt=95" TargetMode="External"/><Relationship Id="rId5" Type="http://schemas.openxmlformats.org/officeDocument/2006/relationships/hyperlink" Target="https://www.bing.com/th?id=OSK.736060c291256940d9f008615dad6c4b&amp;qlt=95" TargetMode="External"/><Relationship Id="rId15" Type="http://schemas.openxmlformats.org/officeDocument/2006/relationships/hyperlink" Target="https://www.bing.com/th?id=OSK.0e6c478df6cde6a6638a941604998dae&amp;qlt=95" TargetMode="External"/><Relationship Id="rId10" Type="http://schemas.openxmlformats.org/officeDocument/2006/relationships/hyperlink" Target="https://www.bing.com/images/search?form=xlimg&amp;q=Thailand" TargetMode="External"/><Relationship Id="rId19" Type="http://schemas.openxmlformats.org/officeDocument/2006/relationships/hyperlink" Target="https://www.bing.com/th?id=OSK.767fb18401935a96730aaba9da627b58&amp;qlt=95" TargetMode="External"/><Relationship Id="rId4" Type="http://schemas.openxmlformats.org/officeDocument/2006/relationships/hyperlink" Target="https://www.bing.com/images/search?form=xlimg&amp;q=Japan" TargetMode="External"/><Relationship Id="rId9" Type="http://schemas.openxmlformats.org/officeDocument/2006/relationships/hyperlink" Target="https://www.bing.com/th?id=OSK.35805ea48a05649bbc579b29d53924b5&amp;qlt=95" TargetMode="External"/><Relationship Id="rId14" Type="http://schemas.openxmlformats.org/officeDocument/2006/relationships/hyperlink" Target="https://www.bing.com/images/search?form=xlimg&amp;q=Jordan" TargetMode="External"/><Relationship Id="rId22" Type="http://schemas.openxmlformats.org/officeDocument/2006/relationships/hyperlink" Target="https://www.bing.com/images/search?form=xlimg&amp;q=Italy" TargetMode="Externa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2">
      <keyFlags>
        <key name="%EntityService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cvi">
          <flag name="ShowInCardView" value="0"/>
          <flag name="ShowInDotNotation" value="0"/>
          <flag name="ShowInAutoComplete" value="0"/>
          <flag name="ExcludeFromCalcComparison" value="1"/>
        </key>
      </keyFlags>
    </type>
    <type name="_linkedentity2core">
      <keyFlags>
        <key name="%EntityService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DataRetrievedTime">
          <flag name="ShowInCardView" value="0"/>
          <flag name="ShowInDotNotation" value="0"/>
          <flag name="ShowInAutoComplete" value="0"/>
          <flag name="ExcludeFromCalcComparison" value="1"/>
        </key>
        <key name="%EntityDomainIdString">
          <flag name="ShowInCardView" value="0"/>
          <flag name="ShowInDotNotation" value="0"/>
          <flag name="ShowInAutoComplete" value="0"/>
        </key>
        <key name="%InfoToolTipLabelNames">
          <flag name="ShowInCardView" value="0"/>
          <flag name="ShowInDotNotation" value="0"/>
          <flag name="ShowInAutoComplete" value="0"/>
        </key>
        <key name="%InfoToolTipLabelValues">
          <flag name="ShowInCardView" value="0"/>
          <flag name="ShowInDotNotation" value="0"/>
          <flag name="ShowInAutoComplete" value="0"/>
        </key>
        <key name="%InfoToolTipLabelValuesType">
          <flag name="ShowInCardView" value="0"/>
          <flag name="ShowInDotNotation" value="0"/>
          <flag name="ShowInAutoComplete" value="0"/>
        </key>
        <key name="%DataProviderString">
          <flag name="ShowInCardView" value="0"/>
          <flag name="ShowInDotNotation" value="0"/>
          <flag name="ShowInAutoComplete" value="0"/>
        </key>
        <key name="%ClassificationId">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moreImagesAddress r:id="rId2"/>
  </webImageSrd>
  <webImageSrd>
    <address r:id="rId3"/>
    <moreImagesAddress r:id="rId4"/>
  </webImageSrd>
  <webImageSrd>
    <address r:id="rId5"/>
    <moreImagesAddress r:id="rId6"/>
  </webImageSrd>
  <webImageSrd>
    <address r:id="rId7"/>
    <moreImagesAddress r:id="rId8"/>
  </webImageSrd>
  <webImageSrd>
    <address r:id="rId9"/>
    <moreImagesAddress r:id="rId10"/>
  </webImageSrd>
  <webImageSrd>
    <address r:id="rId11"/>
    <moreImagesAddress r:id="rId12"/>
  </webImageSrd>
  <webImageSrd>
    <address r:id="rId13"/>
    <moreImagesAddress r:id="rId14"/>
  </webImageSrd>
  <webImageSrd>
    <address r:id="rId15"/>
    <moreImagesAddress r:id="rId16"/>
  </webImageSrd>
  <webImageSrd>
    <address r:id="rId17"/>
    <moreImagesAddress r:id="rId18"/>
  </webImageSrd>
  <webImageSrd>
    <address r:id="rId19"/>
    <moreImagesAddress r:id="rId20"/>
  </webImageSrd>
  <webImageSrd>
    <address r:id="rId21"/>
    <moreImagesAddress r:id="rId22"/>
  </webImageSrd>
</webImagesSrd>
</file>

<file path=xl/richData/rdarray.xml><?xml version="1.0" encoding="utf-8"?>
<arrayData xmlns="http://schemas.microsoft.com/office/spreadsheetml/2017/richdata2" count="43">
  <a r="4">
    <v t="r">21</v>
    <v t="r">22</v>
    <v t="r">23</v>
    <v t="r">24</v>
  </a>
  <a r="2">
    <v t="s">Indian English</v>
    <v t="s">Hindi</v>
  </a>
  <a r="34">
    <v t="r">43</v>
    <v t="r">44</v>
    <v t="r">45</v>
    <v t="r">46</v>
    <v t="r">47</v>
    <v t="r">48</v>
    <v t="r">49</v>
    <v t="r">50</v>
    <v t="r">51</v>
    <v t="r">52</v>
    <v t="r">53</v>
    <v t="r">54</v>
    <v t="r">55</v>
    <v t="r">56</v>
    <v t="r">57</v>
    <v t="r">58</v>
    <v t="r">59</v>
    <v t="r">60</v>
    <v t="r">61</v>
    <v t="r">62</v>
    <v t="r">63</v>
    <v t="r">64</v>
    <v t="r">65</v>
    <v t="r">66</v>
    <v t="r">67</v>
    <v t="r">68</v>
    <v t="r">69</v>
    <v t="r">70</v>
    <v t="r">71</v>
    <v t="r">72</v>
    <v t="r">73</v>
    <v t="r">74</v>
    <v t="r">75</v>
    <v t="r">76</v>
  </a>
  <a r="1">
    <v t="s">Indian Standard Time</v>
  </a>
  <a r="1">
    <v t="r">104</v>
  </a>
  <a r="1">
    <v t="s">Japanese language</v>
  </a>
  <a r="46">
    <v t="r">122</v>
    <v t="r">123</v>
    <v t="r">124</v>
    <v t="r">125</v>
    <v t="r">126</v>
    <v t="r">127</v>
    <v t="r">128</v>
    <v t="r">129</v>
    <v t="r">130</v>
    <v t="r">131</v>
    <v t="r">132</v>
    <v t="r">133</v>
    <v t="r">90</v>
    <v t="r">134</v>
    <v t="r">135</v>
    <v t="r">136</v>
    <v t="r">137</v>
    <v t="r">138</v>
    <v t="r">139</v>
    <v t="r">140</v>
    <v t="r">141</v>
    <v t="r">142</v>
    <v t="r">143</v>
    <v t="r">144</v>
    <v t="r">145</v>
    <v t="r">146</v>
    <v t="r">147</v>
    <v t="r">148</v>
    <v t="r">149</v>
    <v t="r">150</v>
    <v t="r">151</v>
    <v t="r">152</v>
    <v t="r">153</v>
    <v t="r">154</v>
    <v t="r">155</v>
    <v t="r">156</v>
    <v t="r">157</v>
    <v t="r">158</v>
    <v t="r">159</v>
    <v t="r">160</v>
    <v t="r">161</v>
    <v t="r">162</v>
    <v t="r">163</v>
    <v t="r">164</v>
    <v t="r">165</v>
    <v t="r">166</v>
  </a>
  <a r="1">
    <v t="s">Japan Standard Time</v>
  </a>
  <a r="2">
    <v t="r">194</v>
    <v t="r">195</v>
  </a>
  <a r="1">
    <v t="s">Russian language</v>
  </a>
  <a r="83">
    <v t="r">213</v>
    <v t="r">214</v>
    <v t="r">215</v>
    <v t="r">216</v>
    <v t="r">217</v>
    <v t="r">218</v>
    <v t="r">219</v>
    <v t="r">220</v>
    <v t="r">221</v>
    <v t="r">222</v>
    <v t="r">223</v>
    <v t="r">224</v>
    <v t="r">225</v>
    <v t="r">226</v>
    <v t="r">227</v>
    <v t="r">228</v>
    <v t="r">229</v>
    <v t="r">230</v>
    <v t="r">231</v>
    <v t="r">232</v>
    <v t="r">233</v>
    <v t="r">234</v>
    <v t="r">235</v>
    <v t="r">236</v>
    <v t="r">237</v>
    <v t="r">238</v>
    <v t="r">239</v>
    <v t="r">240</v>
    <v t="r">241</v>
    <v t="r">242</v>
    <v t="r">243</v>
    <v t="r">244</v>
    <v t="r">245</v>
    <v t="r">246</v>
    <v t="r">247</v>
    <v t="r">248</v>
    <v t="r">249</v>
    <v t="r">250</v>
    <v t="r">251</v>
    <v t="r">252</v>
    <v t="r">253</v>
    <v t="r">254</v>
    <v t="r">255</v>
    <v t="r">256</v>
    <v t="r">257</v>
    <v t="r">258</v>
    <v t="r">259</v>
    <v t="r">260</v>
    <v t="r">261</v>
    <v t="r">262</v>
    <v t="r">263</v>
    <v t="r">264</v>
    <v t="r">265</v>
    <v t="r">266</v>
    <v t="r">267</v>
    <v t="r">268</v>
    <v t="r">269</v>
    <v t="r">270</v>
    <v t="r">271</v>
    <v t="r">272</v>
    <v t="r">273</v>
    <v t="r">274</v>
    <v t="r">275</v>
    <v t="r">276</v>
    <v t="r">277</v>
    <v t="r">278</v>
    <v t="r">279</v>
    <v t="r">280</v>
    <v t="r">281</v>
    <v t="r">282</v>
    <v t="r">283</v>
    <v t="r">284</v>
    <v t="r">285</v>
    <v t="r">286</v>
    <v t="r">287</v>
    <v t="r">180</v>
    <v t="r">288</v>
    <v t="r">289</v>
    <v t="r">290</v>
    <v t="r">291</v>
    <v t="r">292</v>
    <v t="r">293</v>
    <v t="r">294</v>
  </a>
  <a r="13">
    <v t="s">Moscow Time</v>
    <v t="s">Samara Time</v>
    <v t="s">Yekaterinburg Time</v>
    <v t="s">Omsk Time</v>
    <v t="s">Krasnoyarsk Time</v>
    <v t="s">Irkutsk Time</v>
    <v t="s">Yakutsk Time</v>
    <v t="s">Kamchatka Time</v>
    <v t="s">Eastern European Time</v>
    <v t="s">Vladivostok Time</v>
    <v t="s">Srednekolymsk Time</v>
    <v t="s">Magadan Time</v>
    <v t="s">Kaliningrad Time</v>
  </a>
  <a r="2">
    <v t="r">321</v>
    <v t="r">322</v>
  </a>
  <a r="1">
    <v t="s">Mongolian language</v>
  </a>
  <a r="21">
    <v t="r">307</v>
    <v t="r">339</v>
    <v t="r">340</v>
    <v t="r">341</v>
    <v t="r">342</v>
    <v t="r">343</v>
    <v t="r">344</v>
    <v t="r">345</v>
    <v t="r">346</v>
    <v t="r">347</v>
    <v t="r">348</v>
    <v t="r">349</v>
    <v t="r">350</v>
    <v t="r">351</v>
    <v t="r">352</v>
    <v t="r">353</v>
    <v t="r">354</v>
    <v t="r">355</v>
    <v t="r">356</v>
    <v t="r">357</v>
    <v t="r">358</v>
  </a>
  <a r="1">
    <v t="s">UTC+08:00</v>
  </a>
  <a r="2">
    <v t="r">385</v>
    <v t="r">386</v>
  </a>
  <a r="1">
    <v t="s">Thai language</v>
  </a>
  <a r="76">
    <v t="r">403</v>
    <v t="r">404</v>
    <v t="r">405</v>
    <v t="r">406</v>
    <v t="r">407</v>
    <v t="r">408</v>
    <v t="r">409</v>
    <v t="r">410</v>
    <v t="r">411</v>
    <v t="r">412</v>
    <v t="r">413</v>
    <v t="r">414</v>
    <v t="r">415</v>
    <v t="r">416</v>
    <v t="r">417</v>
    <v t="r">418</v>
    <v t="r">419</v>
    <v t="r">420</v>
    <v t="r">421</v>
    <v t="r">422</v>
    <v t="r">423</v>
    <v t="r">424</v>
    <v t="r">425</v>
    <v t="r">426</v>
    <v t="r">427</v>
    <v t="r">428</v>
    <v t="r">429</v>
    <v t="r">430</v>
    <v t="r">431</v>
    <v t="r">432</v>
    <v t="r">433</v>
    <v t="r">434</v>
    <v t="r">435</v>
    <v t="r">436</v>
    <v t="r">437</v>
    <v t="r">438</v>
    <v t="r">371</v>
    <v t="r">439</v>
    <v t="r">440</v>
    <v t="r">441</v>
    <v t="r">442</v>
    <v t="r">443</v>
    <v t="r">444</v>
    <v t="r">445</v>
    <v t="r">446</v>
    <v t="r">447</v>
    <v t="r">448</v>
    <v t="r">449</v>
    <v t="r">450</v>
    <v t="r">451</v>
    <v t="r">452</v>
    <v t="r">453</v>
    <v t="r">454</v>
    <v t="r">455</v>
    <v t="r">456</v>
    <v t="r">457</v>
    <v t="r">458</v>
    <v t="r">459</v>
    <v t="r">460</v>
    <v t="r">461</v>
    <v t="r">462</v>
    <v t="r">463</v>
    <v t="r">464</v>
    <v t="r">465</v>
    <v t="r">466</v>
    <v t="r">467</v>
    <v t="r">468</v>
    <v t="r">469</v>
    <v t="r">470</v>
    <v t="r">471</v>
    <v t="r">472</v>
    <v t="r">473</v>
    <v t="r">474</v>
    <v t="r">475</v>
    <v t="r">476</v>
    <v t="r">477</v>
  </a>
  <a r="1">
    <v t="s">Asia/Bangkok</v>
  </a>
  <a r="2">
    <v t="r">505</v>
    <v t="r">506</v>
  </a>
  <a r="1">
    <v t="s">Georgian language</v>
  </a>
  <a r="11">
    <v t="r">524</v>
    <v t="r">525</v>
    <v t="r">526</v>
    <v t="r">527</v>
    <v t="r">528</v>
    <v t="r">529</v>
    <v t="r">530</v>
    <v t="r">531</v>
    <v t="r">532</v>
    <v t="r">533</v>
    <v t="r">491</v>
  </a>
  <a r="1">
    <v t="s">Georgia Time</v>
  </a>
  <a r="2">
    <v t="r">561</v>
    <v t="r">562</v>
  </a>
  <a r="1">
    <v t="s">Modern Standard Arabic</v>
  </a>
  <a r="12">
    <v t="r">580</v>
    <v t="r">581</v>
    <v t="r">582</v>
    <v t="r">583</v>
    <v t="r">584</v>
    <v t="r">585</v>
    <v t="r">586</v>
    <v t="r">587</v>
    <v t="r">588</v>
    <v t="r">589</v>
    <v t="r">590</v>
    <v t="r">591</v>
  </a>
  <a r="2">
    <v t="s">UTC+03:00</v>
    <v t="s">UTC+02:00</v>
  </a>
  <a r="2">
    <v t="r">620</v>
    <v t="r">621</v>
  </a>
  <a r="1">
    <v t="s">Standard Chinese</v>
  </a>
  <a r="33">
    <v t="r">605</v>
    <v t="r">638</v>
    <v t="r">639</v>
    <v t="r">640</v>
    <v t="r">641</v>
    <v t="r">642</v>
    <v t="r">643</v>
    <v t="r">644</v>
    <v t="r">619</v>
    <v t="r">645</v>
    <v t="r">646</v>
    <v t="r">647</v>
    <v t="r">648</v>
    <v t="r">649</v>
    <v t="r">650</v>
    <v t="r">651</v>
    <v t="r">652</v>
    <v t="r">653</v>
    <v t="r">654</v>
    <v t="r">655</v>
    <v t="r">656</v>
    <v t="r">657</v>
    <v t="r">658</v>
    <v t="r">659</v>
    <v t="r">660</v>
    <v t="r">661</v>
    <v t="r">662</v>
    <v t="r">663</v>
    <v t="r">664</v>
    <v t="r">665</v>
    <v t="r">666</v>
    <v t="r">667</v>
    <v t="r">668</v>
  </a>
  <a r="1">
    <v t="s">China Standard Time</v>
  </a>
  <a r="2">
    <v t="r">697</v>
    <v t="r">698</v>
  </a>
  <a r="5">
    <v t="r">714</v>
    <v t="r">715</v>
    <v t="r">716</v>
    <v t="r">717</v>
    <v t="r">718</v>
  </a>
  <a r="1">
    <v t="s">UTC+04:00</v>
  </a>
  <a r="2">
    <v t="r">747</v>
    <v t="r">748</v>
  </a>
  <a r="1">
    <v t="s">Vietnamese language</v>
  </a>
  <a r="62">
    <v t="r">766</v>
    <v t="r">767</v>
    <v t="r">768</v>
    <v t="r">769</v>
    <v t="r">770</v>
    <v t="r">771</v>
    <v t="r">772</v>
    <v t="r">773</v>
    <v t="r">732</v>
    <v t="r">774</v>
    <v t="r">775</v>
    <v t="r">776</v>
    <v t="r">777</v>
    <v t="r">778</v>
    <v t="r">779</v>
    <v t="r">780</v>
    <v t="r">781</v>
    <v t="r">782</v>
    <v t="r">783</v>
    <v t="r">784</v>
    <v t="r">785</v>
    <v t="r">786</v>
    <v t="r">787</v>
    <v t="r">788</v>
    <v t="r">789</v>
    <v t="r">790</v>
    <v t="r">791</v>
    <v t="r">792</v>
    <v t="r">793</v>
    <v t="r">794</v>
    <v t="r">795</v>
    <v t="r">796</v>
    <v t="r">797</v>
    <v t="r">798</v>
    <v t="r">799</v>
    <v t="r">800</v>
    <v t="r">801</v>
    <v t="r">802</v>
    <v t="r">803</v>
    <v t="r">804</v>
    <v t="r">805</v>
    <v t="r">806</v>
    <v t="r">807</v>
    <v t="r">808</v>
    <v t="r">809</v>
    <v t="r">810</v>
    <v t="r">811</v>
    <v t="r">812</v>
    <v t="r">813</v>
    <v t="r">746</v>
    <v t="r">814</v>
    <v t="r">815</v>
    <v t="r">816</v>
    <v t="r">817</v>
    <v t="r">818</v>
    <v t="r">819</v>
    <v t="r">820</v>
    <v t="r">821</v>
    <v t="r">822</v>
    <v t="r">823</v>
    <v t="r">824</v>
    <v t="r">825</v>
  </a>
  <a r="1">
    <v t="s">UTC+07:00</v>
  </a>
  <a r="2">
    <v t="r">853</v>
    <v t="r">854</v>
  </a>
  <a r="1">
    <v t="s">Italian language</v>
  </a>
  <a r="20">
    <v t="r">871</v>
    <v t="r">872</v>
    <v t="r">873</v>
    <v t="r">874</v>
    <v t="r">875</v>
    <v t="r">876</v>
    <v t="r">877</v>
    <v t="r">878</v>
    <v t="r">879</v>
    <v t="r">880</v>
    <v t="r">881</v>
    <v t="r">882</v>
    <v t="r">883</v>
    <v t="r">884</v>
    <v t="r">885</v>
    <v t="r">886</v>
    <v t="r">887</v>
    <v t="r">888</v>
    <v t="r">889</v>
    <v t="r">890</v>
  </a>
  <a r="2">
    <v t="s">UTC+02:00</v>
    <v t="s">UTC+01:00</v>
  </a>
</arrayData>
</file>

<file path=xl/richData/rdrichvalue.xml><?xml version="1.0" encoding="utf-8"?>
<rvData xmlns="http://schemas.microsoft.com/office/spreadsheetml/2017/richdata" count="898">
  <rv s="0">
    <v>536870912</v>
    <v>India</v>
    <v>85fa63d3-9596-adb9-b4eb-502273d84f56</v>
    <v>en-US</v>
    <v>Map</v>
  </rv>
  <rv s="1">
    <fb>0.60447196445568596</fb>
    <v>25</v>
  </rv>
  <rv s="1">
    <fb>3287263</fb>
    <v>26</v>
  </rv>
  <rv s="1">
    <fb>3031000</fb>
    <v>26</v>
  </rv>
  <rv s="1">
    <fb>17.856999999999999</fb>
    <v>27</v>
  </rv>
  <rv s="1">
    <fb>91</fb>
    <v>28</v>
  </rv>
  <rv s="0">
    <v>536870912</v>
    <v>New Delhi</v>
    <v>9b1ec747-aca0-6708-8b17-4f08ca9a1c2d</v>
    <v>en-US</v>
    <v>Map</v>
  </rv>
  <rv s="1">
    <fb>2407671.5260000001</fb>
    <v>26</v>
  </rv>
  <rv s="1">
    <fb>180.43581241118</fb>
    <v>29</v>
  </rv>
  <rv s="1">
    <fb>7.6596947427925291E-2</fb>
    <v>25</v>
  </rv>
  <rv s="1">
    <fb>804.51422808927896</fb>
    <v>26</v>
  </rv>
  <rv s="1">
    <fb>2.222</fb>
    <v>27</v>
  </rv>
  <rv s="1">
    <fb>0.23833121474746</fb>
    <v>25</v>
  </rv>
  <rv s="1">
    <fb>73.576979087800794</fb>
    <v>30</v>
  </rv>
  <rv s="1">
    <fb>0.97</fb>
    <v>31</v>
  </rv>
  <rv s="1">
    <fb>2611000000000.0098</fb>
    <v>32</v>
  </rv>
  <rv s="1">
    <fb>1.1295785999999999</fb>
    <v>25</v>
  </rv>
  <rv s="1">
    <fb>0.28060550000000001</fb>
    <v>25</v>
  </rv>
  <rv s="2">
    <v>0</v>
    <v>23</v>
    <v>2</v>
    <v>7</v>
    <v>0</v>
    <v>Image of India</v>
  </rv>
  <rv s="1">
    <fb>29.9</fb>
    <v>30</v>
  </rv>
  <rv s="0">
    <v>536870912</v>
    <v>Mumbai</v>
    <v>fbbc8d69-667a-e1ff-34bf-e524be01025d</v>
    <v>en-US</v>
    <v>Map</v>
  </rv>
  <rv s="0">
    <v>805306368</v>
    <v>Droupadi Murmu (President)</v>
    <v>adde4ff7-2867-52d2-5cee-2e1eb72876cd</v>
    <v>en-US</v>
    <v>Generic</v>
  </rv>
  <rv s="0">
    <v>805306368</v>
    <v>Jagdeep Dhankhar (Vice president)</v>
    <v>cfa2e8c7-64e1-e81b-7e51-6da604f190d6</v>
    <v>en-US</v>
    <v>Generic</v>
  </rv>
  <rv s="0">
    <v>805306368</v>
    <v>Narendra Modi (Prime minister)</v>
    <v>04fee623-e9bd-ee4b-f30d-cad3c29199e4</v>
    <v>en-US</v>
    <v>Generic</v>
  </rv>
  <rv s="0">
    <v>805306368</v>
    <v>Dhananjaya Y. Chandrachud (Chief justice)</v>
    <v>f421a29e-7806-c913-4950-d7dc466c1465</v>
    <v>en-US</v>
    <v>Generic</v>
  </rv>
  <rv s="3">
    <v>0</v>
  </rv>
  <rv s="4">
    <v>https://www.bing.com/search?q=india&amp;form=skydnc</v>
    <v>Learn more on Bing</v>
  </rv>
  <rv s="1">
    <fb>69.415999999999997</fb>
    <v>30</v>
  </rv>
  <rv s="1">
    <fb>2179781240000</fb>
    <v>32</v>
  </rv>
  <rv s="1">
    <fb>145</fb>
    <v>30</v>
  </rv>
  <rv s="1">
    <fb>0.3</fb>
    <v>31</v>
  </rv>
  <rv s="3">
    <v>1</v>
  </rv>
  <rv s="1">
    <fb>0.65060906480000003</fb>
    <v>25</v>
  </rv>
  <rv s="1">
    <fb>0.85709999999999997</fb>
    <v>27</v>
  </rv>
  <rv s="1">
    <fb>1407563842</fb>
    <v>26</v>
  </rv>
  <rv s="1">
    <fb>0.20300000000000001</fb>
    <v>25</v>
  </rv>
  <rv s="1">
    <fb>0.317</fb>
    <v>25</v>
  </rv>
  <rv s="1">
    <fb>0.46200000000000002</fb>
    <v>25</v>
  </rv>
  <rv s="1">
    <fb>3.3000000000000002E-2</fb>
    <v>25</v>
  </rv>
  <rv s="1">
    <fb>7.6999999999999999E-2</fb>
    <v>25</v>
  </rv>
  <rv s="1">
    <fb>0.111</fb>
    <v>25</v>
  </rv>
  <rv s="1">
    <fb>0.14699999999999999</fb>
    <v>25</v>
  </rv>
  <rv s="1">
    <fb>0.49292999267578097</fb>
    <v>25</v>
  </rv>
  <rv s="0">
    <v>536870912</v>
    <v>Arunachal Pradesh</v>
    <v>c2da5cc2-b1a0-f17a-707d-e5067136b9e9</v>
    <v>en-US</v>
    <v>Map</v>
  </rv>
  <rv s="0">
    <v>536870912</v>
    <v>Assam</v>
    <v>a9d4e5df-f559-c28f-dc41-7c72a82dfaf7</v>
    <v>en-US</v>
    <v>Map</v>
  </rv>
  <rv s="0">
    <v>536870912</v>
    <v>Bihar</v>
    <v>e402c108-ade8-40dd-b6d7-f36882e8e3e3</v>
    <v>en-US</v>
    <v>Map</v>
  </rv>
  <rv s="0">
    <v>536870912</v>
    <v>Chhattisgarh</v>
    <v>91e8d1d3-b929-8697-13f5-91241ae0d1b6</v>
    <v>en-US</v>
    <v>Map</v>
  </rv>
  <rv s="0">
    <v>536870912</v>
    <v>Goa</v>
    <v>d9bda1c6-a2c4-994c-5335-195386cef40a</v>
    <v>en-US</v>
    <v>Map</v>
  </rv>
  <rv s="0">
    <v>536870912</v>
    <v>Gujarat</v>
    <v>c70b768e-21ab-4f53-a356-564e8da2291e</v>
    <v>en-US</v>
    <v>Map</v>
  </rv>
  <rv s="0">
    <v>536870912</v>
    <v>Haryana</v>
    <v>f50b36c9-0e06-9b0a-b657-100ebb295bb1</v>
    <v>en-US</v>
    <v>Map</v>
  </rv>
  <rv s="0">
    <v>536870912</v>
    <v>Himachal Pradesh</v>
    <v>0e213229-adc2-378d-f093-949050fffa34</v>
    <v>en-US</v>
    <v>Map</v>
  </rv>
  <rv s="0">
    <v>536870912</v>
    <v>Jharkhand</v>
    <v>9cf33868-3d76-c243-1cd3-91dda44b77e3</v>
    <v>en-US</v>
    <v>Map</v>
  </rv>
  <rv s="0">
    <v>536870912</v>
    <v>Karnataka</v>
    <v>216903eb-bbc1-497e-b914-8eb69db6f747</v>
    <v>en-US</v>
    <v>Map</v>
  </rv>
  <rv s="0">
    <v>536870912</v>
    <v>Kerala</v>
    <v>9d932c0c-d3e6-abbd-5274-6b53036ca764</v>
    <v>en-US</v>
    <v>Map</v>
  </rv>
  <rv s="0">
    <v>536870912</v>
    <v>Madhya Pradesh</v>
    <v>bcbcd891-852b-6dac-1671-8d00b9eae5ea</v>
    <v>en-US</v>
    <v>Map</v>
  </rv>
  <rv s="0">
    <v>536870912</v>
    <v>Maharashtra</v>
    <v>8e20e4dc-1423-75a9-a049-5e500370aafa</v>
    <v>en-US</v>
    <v>Map</v>
  </rv>
  <rv s="0">
    <v>536870912</v>
    <v>Manipur</v>
    <v>774dc6a3-56a4-d8f3-26d2-6e2536af50a5</v>
    <v>en-US</v>
    <v>Map</v>
  </rv>
  <rv s="0">
    <v>536870912</v>
    <v>Meghalaya</v>
    <v>b317786c-1e28-16cc-03ca-835f315a094d</v>
    <v>en-US</v>
    <v>Map</v>
  </rv>
  <rv s="0">
    <v>536870912</v>
    <v>Mizoram</v>
    <v>a1dcfd92-e2ab-1111-48a2-8c885ebd1155</v>
    <v>en-US</v>
    <v>Map</v>
  </rv>
  <rv s="0">
    <v>536870912</v>
    <v>Nagaland</v>
    <v>9097c945-eb0e-f294-cb7f-43ad572c6903</v>
    <v>en-US</v>
    <v>Map</v>
  </rv>
  <rv s="0">
    <v>536870912</v>
    <v>Odisha</v>
    <v>becca699-9820-c027-8e14-b5840348a600</v>
    <v>en-US</v>
    <v>Map</v>
  </rv>
  <rv s="0">
    <v>536870912</v>
    <v>Punjab</v>
    <v>d98d08e1-818e-a7ba-30a5-4637a11eec3e</v>
    <v>en-US</v>
    <v>Map</v>
  </rv>
  <rv s="0">
    <v>536870912</v>
    <v>Rajasthan</v>
    <v>58d414c6-9557-d15b-60ff-52f256e32345</v>
    <v>en-US</v>
    <v>Map</v>
  </rv>
  <rv s="0">
    <v>536870912</v>
    <v>Sikkim</v>
    <v>aa8e9a23-8c5b-d667-7f28-62e9ce93f9bd</v>
    <v>en-US</v>
    <v>Map</v>
  </rv>
  <rv s="0">
    <v>536870912</v>
    <v>Tamil Nadu</v>
    <v>6e3e5a82-8737-a613-1d99-0b4d68370109</v>
    <v>en-US</v>
    <v>Map</v>
  </rv>
  <rv s="0">
    <v>536870912</v>
    <v>Tripura</v>
    <v>a7fa8608-5e0d-f0d4-37a2-b87e3fe2b039</v>
    <v>en-US</v>
    <v>Map</v>
  </rv>
  <rv s="0">
    <v>536870912</v>
    <v>Uttar Pradesh</v>
    <v>f624b656-1585-9836-7a98-128016c67d52</v>
    <v>en-US</v>
    <v>Map</v>
  </rv>
  <rv s="0">
    <v>536870912</v>
    <v>Uttarakhand</v>
    <v>41a39bbc-6b82-df10-b345-3afffff3985d</v>
    <v>en-US</v>
    <v>Map</v>
  </rv>
  <rv s="0">
    <v>536870912</v>
    <v>West Bengal</v>
    <v>067d886f-4d7d-8889-c8c7-d54e2dbc1cb8</v>
    <v>en-US</v>
    <v>Map</v>
  </rv>
  <rv s="0">
    <v>536870912</v>
    <v>Andaman and Nicobar Islands</v>
    <v>0543bce3-574a-8949-ac01-944cd0418886</v>
    <v>en-US</v>
    <v>Map</v>
  </rv>
  <rv s="0">
    <v>536870912</v>
    <v>Chandigarh</v>
    <v>10beaf9e-bdab-00b9-8037-79ffe16cf357</v>
    <v>en-US</v>
    <v>Map</v>
  </rv>
  <rv s="0">
    <v>536870912</v>
    <v>Lakshadweep</v>
    <v>90dcf823-b8a7-5ca7-11dd-dcf29ea357f2</v>
    <v>en-US</v>
    <v>Map</v>
  </rv>
  <rv s="0">
    <v>536870912</v>
    <v>Delhi</v>
    <v>275e8ab8-7bd0-4633-9c89-0133be92e587</v>
    <v>en-US</v>
    <v>Map</v>
  </rv>
  <rv s="0">
    <v>536870912</v>
    <v>Puducherry</v>
    <v>6e0dc6cc-da9d-7f4a-75a8-85997485edfd</v>
    <v>en-US</v>
    <v>Map</v>
  </rv>
  <rv s="0">
    <v>536870912</v>
    <v>Telangana</v>
    <v>19abdc7d-29ea-4ed5-99d8-3a1d7bc90b05</v>
    <v>en-US</v>
    <v>Map</v>
  </rv>
  <rv s="0">
    <v>536870912</v>
    <v>Andhra Pradesh</v>
    <v>9e3a52bb-38ae-c817-5cd2-7a8dd2a4c0e5</v>
    <v>en-US</v>
    <v>Map</v>
  </rv>
  <rv s="0">
    <v>536870912</v>
    <v>Ladakh</v>
    <v>a7a84d3a-9c83-e85a-7347-73d712e71fe2</v>
    <v>en-US</v>
    <v>Map</v>
  </rv>
  <rv s="3">
    <v>2</v>
  </rv>
  <rv s="1">
    <fb>0.111799218352875</fb>
    <v>25</v>
  </rv>
  <rv s="3">
    <v>3</v>
  </rv>
  <rv s="1">
    <fb>0.49700000000000005</fb>
    <v>25</v>
  </rv>
  <rv s="1">
    <fb>5.35500001907349E-2</fb>
    <v>33</v>
  </rv>
  <rv s="1">
    <fb>471031528</fb>
    <v>26</v>
  </rv>
  <rv s="5">
    <v>#VALUE!</v>
    <v>en-US</v>
    <v>85fa63d3-9596-adb9-b4eb-502273d84f56</v>
    <v>536870912</v>
    <v>1</v>
    <v>17</v>
    <v>18</v>
    <v>India</v>
    <v>21</v>
    <v>22</v>
    <v>Map</v>
    <v>23</v>
    <v>24</v>
    <v>IN</v>
    <v>1</v>
    <v>2</v>
    <v>3</v>
    <v>4</v>
    <v>5</v>
    <v>6</v>
    <v>7</v>
    <v>8</v>
    <v>9</v>
    <v>INR</v>
    <v>India, officially the Republic of India, is a country in South Asia. It is the seventh-largest country by area; the most populous country as of June 2023; and from the time of its independence in 1947, the world's most populous democracy. Bounded by the Indian Ocean on the south, the Arabian Sea on the southwest, and the Bay of Bengal on the southeast, it shares land borders with Pakistan to the west; China, Nepal, and Bhutan to the north; and Bangladesh and Myanmar to the east. In the Indian Ocean, India is in the vicinity of Sri Lanka and the Maldives; its Andaman and Nicobar Islands share a maritime border with Thailand, Myanmar, and Indonesia.</v>
    <v>10</v>
    <v>11</v>
    <v>12</v>
    <v>13</v>
    <v>14</v>
    <v>15</v>
    <v>16</v>
    <v>17</v>
    <v>18</v>
    <v>19</v>
    <v>20</v>
    <v>25</v>
    <v>26</v>
    <v>27</v>
    <v>28</v>
    <v>29</v>
    <v>30</v>
    <v>India</v>
    <v>Jana Gana Mana</v>
    <v>31</v>
    <v>भारत गणराज्य</v>
    <v>32</v>
    <v>33</v>
    <v>34</v>
    <v>35</v>
    <v>36</v>
    <v>37</v>
    <v>38</v>
    <v>39</v>
    <v>40</v>
    <v>41</v>
    <v>42</v>
    <v>77</v>
    <v>78</v>
    <v>79</v>
    <v>80</v>
    <v>81</v>
    <v>India</v>
    <v>82</v>
    <v>mdp/vdpid/113</v>
  </rv>
  <rv s="0">
    <v>536870912</v>
    <v>Japan</v>
    <v>130d0438-fafb-cd2d-1a9e-1dd9c5aa87a9</v>
    <v>en-US</v>
    <v>Map</v>
  </rv>
  <rv s="1">
    <fb>0.122640991880623</fb>
    <v>25</v>
  </rv>
  <rv s="1">
    <fb>377972.28</fb>
    <v>26</v>
  </rv>
  <rv s="1">
    <fb>261000</fb>
    <v>26</v>
  </rv>
  <rv s="1">
    <fb>7.4</fb>
    <v>27</v>
  </rv>
  <rv s="1">
    <fb>81</fb>
    <v>28</v>
  </rv>
  <rv s="0">
    <v>536870912</v>
    <v>Tokyo</v>
    <v>cb44a92f-6c6f-99c4-2ae3-51601fdc919a</v>
    <v>en-US</v>
    <v>Map</v>
  </rv>
  <rv s="1">
    <fb>1135886.253</fb>
    <v>26</v>
  </rv>
  <rv s="1">
    <fb>105.482172148839</fb>
    <v>29</v>
  </rv>
  <rv s="1">
    <fb>4.7697368421052103E-3</fb>
    <v>25</v>
  </rv>
  <rv s="1">
    <fb>7819.7146359093604</fb>
    <v>26</v>
  </rv>
  <rv s="1">
    <fb>1.42</fb>
    <v>27</v>
  </rv>
  <rv s="1">
    <fb>0.68456222269653788</fb>
    <v>25</v>
  </rv>
  <rv s="1">
    <fb>93.026455107462894</fb>
    <v>30</v>
  </rv>
  <rv s="1">
    <fb>1.06</fb>
    <v>31</v>
  </rv>
  <rv s="1">
    <fb>5081769542379.7695</fb>
    <v>32</v>
  </rv>
  <rv s="1">
    <fb>0.98799942016601605</fb>
    <v>25</v>
  </rv>
  <rv s="1">
    <fb>0.63237579345703099</fb>
    <v>25</v>
  </rv>
  <rv s="2">
    <v>1</v>
    <v>23</v>
    <v>35</v>
    <v>7</v>
    <v>0</v>
    <v>Image of Japan</v>
  </rv>
  <rv s="1">
    <fb>1.8</fb>
    <v>30</v>
  </rv>
  <rv s="0">
    <v>805306368</v>
    <v>Fumio Kishida (Prime minister)</v>
    <v>4c39adbe-f9a5-4343-12a6-6f72b644c5f9</v>
    <v>en-US</v>
    <v>Generic</v>
  </rv>
  <rv s="3">
    <v>4</v>
  </rv>
  <rv s="4">
    <v>https://www.bing.com/search?q=japan&amp;form=skydnc</v>
    <v>Learn more on Bing</v>
  </rv>
  <rv s="1">
    <fb>84.210975609756105</fb>
    <v>30</v>
  </rv>
  <rv s="1">
    <fb>6191073290000</fb>
    <v>32</v>
  </rv>
  <rv s="1">
    <fb>5</fb>
    <v>30</v>
  </rv>
  <rv s="1">
    <fb>6.77</fb>
    <v>31</v>
  </rv>
  <rv s="3">
    <v>5</v>
  </rv>
  <rv s="1">
    <fb>0.13097521000000001</fb>
    <v>25</v>
  </rv>
  <rv s="1">
    <fb>2.4115000000000002</fb>
    <v>27</v>
  </rv>
  <rv s="1">
    <fb>125681593</fb>
    <v>26</v>
  </rv>
  <rv s="1">
    <fb>0.217</fb>
    <v>25</v>
  </rv>
  <rv s="1">
    <fb>0.26400000000000001</fb>
    <v>25</v>
  </rv>
  <rv s="1">
    <fb>0.41100000000000003</fb>
    <v>25</v>
  </rv>
  <rv s="1">
    <fb>2.8999999999999998E-2</fb>
    <v>25</v>
  </rv>
  <rv s="1">
    <fb>0.128</fb>
    <v>25</v>
  </rv>
  <rv s="1">
    <fb>0.16600000000000001</fb>
    <v>25</v>
  </rv>
  <rv s="1">
    <fb>0.61726001739502001</fb>
    <v>25</v>
  </rv>
  <rv s="0">
    <v>536870912</v>
    <v>Aichi Prefecture</v>
    <v>404b15c4-d9ae-5896-6d50-b1481f5dd5cd</v>
    <v>en-US</v>
    <v>Map</v>
  </rv>
  <rv s="0">
    <v>536870912</v>
    <v>Akita Prefecture</v>
    <v>23901f9e-0010-b10e-217f-76889688c150</v>
    <v>en-US</v>
    <v>Map</v>
  </rv>
  <rv s="0">
    <v>536870912</v>
    <v>Aomori Prefecture</v>
    <v>bdd4a43f-5a1f-1483-b74b-1c2e2d564a31</v>
    <v>en-US</v>
    <v>Map</v>
  </rv>
  <rv s="0">
    <v>536870912</v>
    <v>Chiba Prefecture</v>
    <v>0d6c59a9-daa8-57c7-3846-568b398d3c41</v>
    <v>en-US</v>
    <v>Map</v>
  </rv>
  <rv s="0">
    <v>536870912</v>
    <v>Fukui Prefecture</v>
    <v>e859104b-0d73-b8bf-c4f4-56888a2281cd</v>
    <v>en-US</v>
    <v>Map</v>
  </rv>
  <rv s="0">
    <v>536870912</v>
    <v>Fukushima Prefecture</v>
    <v>73791ec1-3b90-e21b-3cc7-0e8444934877</v>
    <v>en-US</v>
    <v>Map</v>
  </rv>
  <rv s="0">
    <v>536870912</v>
    <v>Gunma Prefecture</v>
    <v>b64077a0-378d-c23f-b45c-2b3a03cba119</v>
    <v>en-US</v>
    <v>Map</v>
  </rv>
  <rv s="0">
    <v>536870912</v>
    <v>Ibaraki Prefecture</v>
    <v>d16517c8-96b5-094f-f4ce-4aa391d6c7a2</v>
    <v>en-US</v>
    <v>Map</v>
  </rv>
  <rv s="0">
    <v>536870912</v>
    <v>Iwate Prefecture</v>
    <v>02eea5a7-6ae7-8bf6-a17a-c242b4162121</v>
    <v>en-US</v>
    <v>Map</v>
  </rv>
  <rv s="0">
    <v>536870912</v>
    <v>Miyagi Prefecture</v>
    <v>2df5e06d-7fb5-6da7-5d3b-29b4ff80395e</v>
    <v>en-US</v>
    <v>Map</v>
  </rv>
  <rv s="0">
    <v>536870912</v>
    <v>Saitama Prefecture</v>
    <v>03a81bc6-6fd0-fac9-0958-cd81fcf07a35</v>
    <v>en-US</v>
    <v>Map</v>
  </rv>
  <rv s="0">
    <v>536870912</v>
    <v>Tochigi Prefecture</v>
    <v>faae3362-0727-4ec5-6d01-3048e7e1526c</v>
    <v>en-US</v>
    <v>Map</v>
  </rv>
  <rv s="0">
    <v>536870912</v>
    <v>Kanagawa Prefecture</v>
    <v>d5976989-847c-bcca-3cb3-11bfacc55c5d</v>
    <v>en-US</v>
    <v>Map</v>
  </rv>
  <rv s="0">
    <v>536870912</v>
    <v>Niigata Prefecture</v>
    <v>d88c2b16-14cc-3861-9ddc-31ebd94b17d9</v>
    <v>en-US</v>
    <v>Map</v>
  </rv>
  <rv s="0">
    <v>536870912</v>
    <v>Toyama Prefecture</v>
    <v>3fd9a341-4706-cc8a-3953-779219c2cc10</v>
    <v>en-US</v>
    <v>Map</v>
  </rv>
  <rv s="0">
    <v>536870912</v>
    <v>Ishikawa Prefecture</v>
    <v>db2b14c2-e9db-32f7-5d44-025637689af0</v>
    <v>en-US</v>
    <v>Map</v>
  </rv>
  <rv s="0">
    <v>536870912</v>
    <v>Yamagata Prefecture</v>
    <v>74d18529-a623-a2f9-9e38-40891e57c7d8</v>
    <v>en-US</v>
    <v>Map</v>
  </rv>
  <rv s="0">
    <v>536870912</v>
    <v>Yamanashi Prefecture</v>
    <v>3e9e0d88-33e9-a04d-7fd7-a1679da279b5</v>
    <v>en-US</v>
    <v>Map</v>
  </rv>
  <rv s="0">
    <v>536870912</v>
    <v>Nagano Prefecture</v>
    <v>7afcd7d0-3729-6e2f-d60f-ace5cc191bd0</v>
    <v>en-US</v>
    <v>Map</v>
  </rv>
  <rv s="0">
    <v>536870912</v>
    <v>Gifu Prefecture</v>
    <v>2c82ed6b-33c4-4355-bd09-71939ba5ff4a</v>
    <v>en-US</v>
    <v>Map</v>
  </rv>
  <rv s="0">
    <v>536870912</v>
    <v>Shizuoka Prefecture</v>
    <v>ca8ec756-8a3c-20a2-7e11-d24e284b7258</v>
    <v>en-US</v>
    <v>Map</v>
  </rv>
  <rv s="0">
    <v>536870912</v>
    <v>Mie Prefecture</v>
    <v>36b5c190-9782-f717-071c-66ee3f0eab90</v>
    <v>en-US</v>
    <v>Map</v>
  </rv>
  <rv s="0">
    <v>536870912</v>
    <v>Shiga Prefecture</v>
    <v>a778bb7c-b03b-d571-1839-962c4dea2bb2</v>
    <v>en-US</v>
    <v>Map</v>
  </rv>
  <rv s="0">
    <v>536870912</v>
    <v>Kyoto Prefecture</v>
    <v>699d1960-1267-7c97-6c62-e139537430a0</v>
    <v>en-US</v>
    <v>Map</v>
  </rv>
  <rv s="0">
    <v>536870912</v>
    <v>Osaka Prefecture</v>
    <v>a583e9fe-2d16-b004-281e-4c6841471145</v>
    <v>en-US</v>
    <v>Map</v>
  </rv>
  <rv s="0">
    <v>536870912</v>
    <v>Hyogo Prefecture</v>
    <v>018712db-aec7-3894-1042-cbf5df14fac5</v>
    <v>en-US</v>
    <v>Map</v>
  </rv>
  <rv s="0">
    <v>536870912</v>
    <v>Nara Prefecture</v>
    <v>99c4ba8c-9fb8-efe8-6368-0eb648372fb2</v>
    <v>en-US</v>
    <v>Map</v>
  </rv>
  <rv s="0">
    <v>536870912</v>
    <v>Wakayama Prefecture</v>
    <v>fa064941-15ba-eb91-63a1-7e13f0aaa879</v>
    <v>en-US</v>
    <v>Map</v>
  </rv>
  <rv s="0">
    <v>536870912</v>
    <v>Tottori Prefecture</v>
    <v>5bfbddb8-df0b-1d9c-3772-363d9be5878a</v>
    <v>en-US</v>
    <v>Map</v>
  </rv>
  <rv s="0">
    <v>536870912</v>
    <v>Shimane Prefecture</v>
    <v>580cd2e8-a550-7297-21b8-252fe27c1650</v>
    <v>en-US</v>
    <v>Map</v>
  </rv>
  <rv s="0">
    <v>536870912</v>
    <v>Okayama Prefecture</v>
    <v>e9792cdf-f004-a2bf-db55-28eabec2a7c0</v>
    <v>en-US</v>
    <v>Map</v>
  </rv>
  <rv s="0">
    <v>536870912</v>
    <v>Hiroshima Prefecture</v>
    <v>75de6a1b-763c-40ed-8e98-60dc318775fc</v>
    <v>en-US</v>
    <v>Map</v>
  </rv>
  <rv s="0">
    <v>536870912</v>
    <v>Yamaguchi Prefecture</v>
    <v>8a70f93f-b3cb-6430-8962-9b62c21575f3</v>
    <v>en-US</v>
    <v>Map</v>
  </rv>
  <rv s="0">
    <v>536870912</v>
    <v>Tokushima Prefecture</v>
    <v>90ca77f2-2c01-cf7e-fb1e-58a68f9fc0bf</v>
    <v>en-US</v>
    <v>Map</v>
  </rv>
  <rv s="0">
    <v>536870912</v>
    <v>Kagawa Prefecture</v>
    <v>bdd9ba22-f775-2984-6115-5438af268070</v>
    <v>en-US</v>
    <v>Map</v>
  </rv>
  <rv s="0">
    <v>536870912</v>
    <v>Ehime Prefecture</v>
    <v>0e0b1bbf-5926-d5dc-0e10-24f8c566ca8c</v>
    <v>en-US</v>
    <v>Map</v>
  </rv>
  <rv s="0">
    <v>536870912</v>
    <v>Kōchi Prefecture</v>
    <v>3fcb8073-d695-79de-cd11-91dc78fb0481</v>
    <v>en-US</v>
    <v>Map</v>
  </rv>
  <rv s="0">
    <v>536870912</v>
    <v>Fukuoka Prefecture</v>
    <v>a58bcb0e-97b3-0ac9-f0c0-e119441e5cba</v>
    <v>en-US</v>
    <v>Map</v>
  </rv>
  <rv s="0">
    <v>536870912</v>
    <v>Nagasaki Prefecture</v>
    <v>8caf62a2-006c-dde2-9c4d-e19d90ff2f0e</v>
    <v>en-US</v>
    <v>Map</v>
  </rv>
  <rv s="0">
    <v>536870912</v>
    <v>Kumamoto Prefecture</v>
    <v>52bcf337-792b-3880-8875-847fe25699df</v>
    <v>en-US</v>
    <v>Map</v>
  </rv>
  <rv s="0">
    <v>536870912</v>
    <v>Oita Prefecture</v>
    <v>c81f03fa-05e5-d708-3db6-3b6d5ed92f67</v>
    <v>en-US</v>
    <v>Map</v>
  </rv>
  <rv s="0">
    <v>536870912</v>
    <v>Miyazaki Prefecture</v>
    <v>3bb91686-f345-53cf-6fb8-97d98890dc7d</v>
    <v>en-US</v>
    <v>Map</v>
  </rv>
  <rv s="0">
    <v>536870912</v>
    <v>Kagoshima Prefecture</v>
    <v>c3e1f2d9-0225-9e77-d77d-952bbf72ceb7</v>
    <v>en-US</v>
    <v>Map</v>
  </rv>
  <rv s="0">
    <v>536870912</v>
    <v>Okinawa Prefecture</v>
    <v>e26094bf-30f4-9d5e-ed21-f166be1cfad3</v>
    <v>en-US</v>
    <v>Map</v>
  </rv>
  <rv s="0">
    <v>536870912</v>
    <v>Saga Prefecture</v>
    <v>171c9320-6b1a-2ebc-2002-85b3d707f979</v>
    <v>en-US</v>
    <v>Map</v>
  </rv>
  <rv s="3">
    <v>6</v>
  </rv>
  <rv s="1">
    <fb>0.11905933830538</fb>
    <v>25</v>
  </rv>
  <rv s="3">
    <v>7</v>
  </rv>
  <rv s="1">
    <fb>0.46700000000000003</fb>
    <v>25</v>
  </rv>
  <rv s="1">
    <fb>2.2909998893737803E-2</fb>
    <v>33</v>
  </rv>
  <rv s="1">
    <fb>115782416</fb>
    <v>26</v>
  </rv>
  <rv s="5">
    <v>#VALUE!</v>
    <v>en-US</v>
    <v>130d0438-fafb-cd2d-1a9e-1dd9c5aa87a9</v>
    <v>536870912</v>
    <v>1</v>
    <v>38</v>
    <v>18</v>
    <v>Japan</v>
    <v>21</v>
    <v>22</v>
    <v>Map</v>
    <v>23</v>
    <v>39</v>
    <v>JP</v>
    <v>85</v>
    <v>86</v>
    <v>87</v>
    <v>88</v>
    <v>89</v>
    <v>90</v>
    <v>91</v>
    <v>92</v>
    <v>93</v>
    <v>JPY</v>
    <v>Japan is an island country in East Asia. It is situated in the northwest Pacific Ocean and is bordered on the west by the Sea of Japan, extending from the Sea of Okhotsk in the north toward the East China Sea, Philippine Sea, and Taiwan in the south. Japan is a part of the Ring of Fire, and spans an archipelago of 14,125 islands, with the five main islands being Hokkaido, Honshu, Shikoku, Kyushu, and Okinawa. Tokyo is the nation's capital and largest city, followed by Yokohama, Osaka, Nagoya, Sapporo, Fukuoka, Kobe, and Kyoto.</v>
    <v>94</v>
    <v>95</v>
    <v>96</v>
    <v>97</v>
    <v>98</v>
    <v>99</v>
    <v>100</v>
    <v>101</v>
    <v>102</v>
    <v>103</v>
    <v>90</v>
    <v>105</v>
    <v>106</v>
    <v>107</v>
    <v>108</v>
    <v>109</v>
    <v>110</v>
    <v>Japan</v>
    <v>Kimigayo</v>
    <v>111</v>
    <v>日本国</v>
    <v>112</v>
    <v>113</v>
    <v>114</v>
    <v>115</v>
    <v>116</v>
    <v>117</v>
    <v>118</v>
    <v>39</v>
    <v>119</v>
    <v>120</v>
    <v>121</v>
    <v>167</v>
    <v>168</v>
    <v>169</v>
    <v>170</v>
    <v>171</v>
    <v>Japan</v>
    <v>172</v>
    <v>mdp/vdpid/122</v>
  </rv>
  <rv s="0">
    <v>536870912</v>
    <v>Russia</v>
    <v>ed4fce79-8ad4-352b-205b-e4db36c49bbe</v>
    <v>en-US</v>
    <v>Map</v>
  </rv>
  <rv s="1">
    <fb>0.13294470341402198</fb>
    <v>25</v>
  </rv>
  <rv s="1">
    <fb>17075400</fb>
    <v>26</v>
  </rv>
  <rv s="1">
    <fb>1454000</fb>
    <v>26</v>
  </rv>
  <rv s="1">
    <fb>11.5</fb>
    <v>27</v>
  </rv>
  <rv s="1">
    <fb>7</fb>
    <v>28</v>
  </rv>
  <rv s="0">
    <v>536870912</v>
    <v>Moscow</v>
    <v>6bb559e5-6af9-adf8-d8bc-7f999aba8a3a</v>
    <v>en-US</v>
    <v>Map</v>
  </rv>
  <rv s="1">
    <fb>1732026.7760000001</fb>
    <v>26</v>
  </rv>
  <rv s="1">
    <fb>180.74643865422601</fb>
    <v>29</v>
  </rv>
  <rv s="1">
    <fb>4.4703597689969995E-2</fb>
    <v>25</v>
  </rv>
  <rv s="1">
    <fb>6602.6575252928196</fb>
    <v>26</v>
  </rv>
  <rv s="1">
    <fb>1.57</fb>
    <v>27</v>
  </rv>
  <rv s="1">
    <fb>0.49758561923004796</fb>
    <v>25</v>
  </rv>
  <rv s="1">
    <fb>92.142875817828696</fb>
    <v>30</v>
  </rv>
  <rv s="1">
    <fb>0.59</fb>
    <v>31</v>
  </rv>
  <rv s="1">
    <fb>1699876578871.3501</fb>
    <v>32</v>
  </rv>
  <rv s="1">
    <fb>1.0258246</fb>
    <v>25</v>
  </rv>
  <rv s="1">
    <fb>0.81909310000000002</fb>
    <v>25</v>
  </rv>
  <rv s="2">
    <v>2</v>
    <v>23</v>
    <v>41</v>
    <v>7</v>
    <v>0</v>
    <v>Image of Russia</v>
  </rv>
  <rv s="1">
    <fb>6.1</fb>
    <v>30</v>
  </rv>
  <rv s="0">
    <v>805306368</v>
    <v>Vladimir Putin (President)</v>
    <v>60d41b9e-06ae-967b-bcc5-97ad4a13d29c</v>
    <v>en-US</v>
    <v>Generic</v>
  </rv>
  <rv s="0">
    <v>805306368</v>
    <v>Mikhail Mishustin (Prime minister)</v>
    <v>8176b935-a6dc-cfbe-2565-cfb891845a4a</v>
    <v>en-US</v>
    <v>Generic</v>
  </rv>
  <rv s="3">
    <v>8</v>
  </rv>
  <rv s="4">
    <v>https://www.bing.com/search?q=russia&amp;form=skydnc</v>
    <v>Learn more on Bing</v>
  </rv>
  <rv s="1">
    <fb>72.657317073170702</fb>
    <v>30</v>
  </rv>
  <rv s="1">
    <fb>576116340000</fb>
    <v>32</v>
  </rv>
  <rv s="1">
    <fb>17</fb>
    <v>30</v>
  </rv>
  <rv s="1">
    <fb>0.53</fb>
    <v>31</v>
  </rv>
  <rv s="3">
    <v>9</v>
  </rv>
  <rv s="1">
    <fb>0.36436404289999996</fb>
    <v>25</v>
  </rv>
  <rv s="1">
    <fb>4.0138999999999996</fb>
    <v>27</v>
  </rv>
  <rv s="1">
    <fb>143449286</fb>
    <v>26</v>
  </rv>
  <rv s="1">
    <fb>0.214</fb>
    <v>25</v>
  </rv>
  <rv s="1">
    <fb>0.29899999999999999</fb>
    <v>25</v>
  </rv>
  <rv s="1">
    <fb>0.45100000000000001</fb>
    <v>25</v>
  </rv>
  <rv s="1">
    <fb>7.0999999999999994E-2</fb>
    <v>25</v>
  </rv>
  <rv s="1">
    <fb>0.11199999999999999</fb>
    <v>25</v>
  </rv>
  <rv s="1">
    <fb>0.152</fb>
    <v>25</v>
  </rv>
  <rv s="1">
    <fb>0.61800998687744102</fb>
    <v>25</v>
  </rv>
  <rv s="0">
    <v>536870912</v>
    <v>Adygea</v>
    <v>22b5ba45-672e-34b8-e6f1-db4a112d6473</v>
    <v>en-US</v>
    <v>Map</v>
  </rv>
  <rv s="0">
    <v>536870912</v>
    <v>Altai Republic</v>
    <v>bc671e26-2d75-8823-293a-5af58859f724</v>
    <v>en-US</v>
    <v>Map</v>
  </rv>
  <rv s="0">
    <v>536870912</v>
    <v>Bashkortostan</v>
    <v>fc6eab09-3383-820f-1442-4f6dde32cbf9</v>
    <v>en-US</v>
    <v>Map</v>
  </rv>
  <rv s="0">
    <v>536870912</v>
    <v>Buryatia</v>
    <v>559aae54-84df-2df7-b208-d0e2975a541f</v>
    <v>en-US</v>
    <v>Map</v>
  </rv>
  <rv s="0">
    <v>536870912</v>
    <v>Dagestan</v>
    <v>7be0631e-08a6-71a2-bd8f-1be3fab541d4</v>
    <v>en-US</v>
    <v>Map</v>
  </rv>
  <rv s="0">
    <v>536870912</v>
    <v>Ingushetia</v>
    <v>d71ef53a-a58c-2149-fc5b-7f305c67d703</v>
    <v>en-US</v>
    <v>Map</v>
  </rv>
  <rv s="0">
    <v>536870912</v>
    <v>Kabardino-Balkaria</v>
    <v>3c3eefab-1013-5556-2903-4a792d0de818</v>
    <v>en-US</v>
    <v>Map</v>
  </rv>
  <rv s="0">
    <v>536870912</v>
    <v>Kalmykia</v>
    <v>aa5d46bb-1a45-ccab-629e-32a57e11433b</v>
    <v>en-US</v>
    <v>Map</v>
  </rv>
  <rv s="0">
    <v>536870912</v>
    <v>Karachay-Cherkess Republic</v>
    <v>427be6f6-6a91-8144-0b4b-023b249fb86c</v>
    <v>en-US</v>
    <v>Map</v>
  </rv>
  <rv s="0">
    <v>536870912</v>
    <v>Komi Republic</v>
    <v>7ef61531-763c-4148-8cc5-3804e7ea0b0f</v>
    <v>en-US</v>
    <v>Map</v>
  </rv>
  <rv s="0">
    <v>536870912</v>
    <v>Stavropol Krai</v>
    <v>cea31d3e-370c-d7b9-8aa9-739d9a55a85a</v>
    <v>en-US</v>
    <v>Map</v>
  </rv>
  <rv s="0">
    <v>536870912</v>
    <v>Mari El Republic</v>
    <v>b89c03bf-1661-bc0b-45ea-52497ba4afaf</v>
    <v>en-US</v>
    <v>Map</v>
  </rv>
  <rv s="0">
    <v>536870912</v>
    <v>Mordovia</v>
    <v>f239c732-02c7-4a65-ceef-e3e0f395c4ad</v>
    <v>en-US</v>
    <v>Map</v>
  </rv>
  <rv s="0">
    <v>536870912</v>
    <v>Sakha Republic</v>
    <v>ea625ee4-93bc-476d-b81d-2daeb4e75cc9</v>
    <v>en-US</v>
    <v>Map</v>
  </rv>
  <rv s="0">
    <v>536870912</v>
    <v>North Ossetia–Alania</v>
    <v>d769211e-6a13-19e2-34f9-58681d88ee0e</v>
    <v>en-US</v>
    <v>Map</v>
  </rv>
  <rv s="0">
    <v>536870912</v>
    <v>Republic of Tatarstan</v>
    <v>7e36bead-7c24-03eb-3164-2a047e5b7eb1</v>
    <v>en-US</v>
    <v>Map</v>
  </rv>
  <rv s="0">
    <v>536870912</v>
    <v>Tuva Republic</v>
    <v>ab07bfe8-07ff-28f8-5b60-d4cd5e7f48f8</v>
    <v>en-US</v>
    <v>Map</v>
  </rv>
  <rv s="0">
    <v>536870912</v>
    <v>Udmurt Republic</v>
    <v>9650b146-7f52-f62d-cc53-c0f71081c647</v>
    <v>en-US</v>
    <v>Map</v>
  </rv>
  <rv s="0">
    <v>536870912</v>
    <v>Khakassia</v>
    <v>f1e1928b-1461-ec9b-f1f0-d161dfb0ded0</v>
    <v>en-US</v>
    <v>Map</v>
  </rv>
  <rv s="0">
    <v>536870912</v>
    <v>Chechen Republic</v>
    <v>380a5b31-8fbf-1061-698e-34d4218fc514</v>
    <v>en-US</v>
    <v>Map</v>
  </rv>
  <rv s="0">
    <v>536870912</v>
    <v>Chuvash Republic</v>
    <v>52dde999-303c-705c-0053-8cd4a44ea3bc</v>
    <v>en-US</v>
    <v>Map</v>
  </rv>
  <rv s="0">
    <v>536870912</v>
    <v>Altai Krai</v>
    <v>5e9c8636-bfc7-6ace-eac3-4751db61d1cd</v>
    <v>en-US</v>
    <v>Map</v>
  </rv>
  <rv s="0">
    <v>536870912</v>
    <v>Krasnodar Krai</v>
    <v>9a429c3b-d4ba-835f-1b73-b43e11683d61</v>
    <v>en-US</v>
    <v>Map</v>
  </rv>
  <rv s="0">
    <v>536870912</v>
    <v>Krasnoyarsk Krai</v>
    <v>1266f13e-65bc-fc05-ccd0-3c7a17af0597</v>
    <v>en-US</v>
    <v>Map</v>
  </rv>
  <rv s="0">
    <v>536870912</v>
    <v>Primorsky Krai</v>
    <v>c162694d-0600-3d2a-14ab-bd32888d7c8d</v>
    <v>en-US</v>
    <v>Map</v>
  </rv>
  <rv s="0">
    <v>536870912</v>
    <v>Khabarovsk Krai</v>
    <v>02068939-5788-e619-fddd-7743d37b74b3</v>
    <v>en-US</v>
    <v>Map</v>
  </rv>
  <rv s="0">
    <v>536870912</v>
    <v>Amur Oblast</v>
    <v>706fd605-8507-bdd1-46b4-ee14136bf6f2</v>
    <v>en-US</v>
    <v>Map</v>
  </rv>
  <rv s="0">
    <v>536870912</v>
    <v>Astrakhan Oblast</v>
    <v>06c7a94b-2d3b-41f7-ad05-8d46bb820ade</v>
    <v>en-US</v>
    <v>Map</v>
  </rv>
  <rv s="0">
    <v>536870912</v>
    <v>Arkhangelsk Oblast</v>
    <v>a26f0229-f4b7-1b73-1448-9522bf6b8a00</v>
    <v>en-US</v>
    <v>Map</v>
  </rv>
  <rv s="0">
    <v>536870912</v>
    <v>Belgorod Oblast</v>
    <v>c8940f0f-9335-1cda-1a75-5dd0ab1960ff</v>
    <v>en-US</v>
    <v>Map</v>
  </rv>
  <rv s="0">
    <v>536870912</v>
    <v>Bryansk Oblast</v>
    <v>0ea1957d-9d7f-b8a7-f59b-31b5d6b1bd4a</v>
    <v>en-US</v>
    <v>Map</v>
  </rv>
  <rv s="0">
    <v>536870912</v>
    <v>Vladimir Oblast</v>
    <v>2d317c56-15fe-4a06-56e0-02319a666d05</v>
    <v>en-US</v>
    <v>Map</v>
  </rv>
  <rv s="0">
    <v>536870912</v>
    <v>Volgograd Oblast</v>
    <v>8b9d97f0-f2de-ac3e-5891-976a9a8b1e60</v>
    <v>en-US</v>
    <v>Map</v>
  </rv>
  <rv s="0">
    <v>536870912</v>
    <v>Vologda Oblast</v>
    <v>e52cd8ce-a2fe-316d-8b57-f4e3b77333a5</v>
    <v>en-US</v>
    <v>Map</v>
  </rv>
  <rv s="0">
    <v>536870912</v>
    <v>Voronezh Oblast</v>
    <v>9b7449fa-9d99-9753-8580-fc09a3e938a1</v>
    <v>en-US</v>
    <v>Map</v>
  </rv>
  <rv s="0">
    <v>536870912</v>
    <v>Ivanovo Oblast</v>
    <v>fdcd3a68-b12f-1397-beb5-b43095d4606b</v>
    <v>en-US</v>
    <v>Map</v>
  </rv>
  <rv s="0">
    <v>536870912</v>
    <v>Irkutsk Oblast</v>
    <v>d1d27863-f692-cd79-ec4a-a224cb9b6b50</v>
    <v>en-US</v>
    <v>Map</v>
  </rv>
  <rv s="0">
    <v>536870912</v>
    <v>Kaliningrad Oblast</v>
    <v>7898a7d2-2c53-4ac9-fd66-da04a64ed92e</v>
    <v>en-US</v>
    <v>Map</v>
  </rv>
  <rv s="0">
    <v>536870912</v>
    <v>Kaluga Oblast</v>
    <v>97df7123-82c1-1ae8-dc29-631fa213b57f</v>
    <v>en-US</v>
    <v>Map</v>
  </rv>
  <rv s="0">
    <v>536870912</v>
    <v>Kamchatka Krai</v>
    <v>aa601ace-14aa-0457-d7e0-cc6046c92351</v>
    <v>en-US</v>
    <v>Map</v>
  </rv>
  <rv s="0">
    <v>536870912</v>
    <v>Kemerovo Oblast</v>
    <v>1e6a003a-be48-9fa5-55bd-e117a8409e45</v>
    <v>en-US</v>
    <v>Map</v>
  </rv>
  <rv s="0">
    <v>536870912</v>
    <v>Kirov Oblast</v>
    <v>d59795b1-20b4-27f8-b756-5227d25439ae</v>
    <v>en-US</v>
    <v>Map</v>
  </rv>
  <rv s="0">
    <v>536870912</v>
    <v>Kostroma Oblast</v>
    <v>48255075-9db6-a984-2d1d-fcf0441e427b</v>
    <v>en-US</v>
    <v>Map</v>
  </rv>
  <rv s="0">
    <v>536870912</v>
    <v>Kurgan Oblast</v>
    <v>903834e8-fe8c-1307-487f-0fb6d8993461</v>
    <v>en-US</v>
    <v>Map</v>
  </rv>
  <rv s="0">
    <v>536870912</v>
    <v>Kursk Oblast</v>
    <v>567e1124-acb2-49af-175b-c71b4a0ba198</v>
    <v>en-US</v>
    <v>Map</v>
  </rv>
  <rv s="0">
    <v>536870912</v>
    <v>Leningrad Oblast</v>
    <v>5c4a620f-878c-b7a4-a401-7f5115731d25</v>
    <v>en-US</v>
    <v>Map</v>
  </rv>
  <rv s="0">
    <v>536870912</v>
    <v>Lipetsk Oblast</v>
    <v>f35c04f7-4cb7-0802-ca04-755f7af52074</v>
    <v>en-US</v>
    <v>Map</v>
  </rv>
  <rv s="0">
    <v>536870912</v>
    <v>Magadan Oblast</v>
    <v>41a617f0-e934-53ad-bb6c-2cac390b18ba</v>
    <v>en-US</v>
    <v>Map</v>
  </rv>
  <rv s="0">
    <v>536870912</v>
    <v>Moscow Oblast</v>
    <v>dd63de90-3429-69f1-11c7-7129ec818a44</v>
    <v>en-US</v>
    <v>Map</v>
  </rv>
  <rv s="0">
    <v>536870912</v>
    <v>Murmansk Oblast</v>
    <v>07a783e3-274d-ec11-cee4-83081096a87f</v>
    <v>en-US</v>
    <v>Map</v>
  </rv>
  <rv s="0">
    <v>536870912</v>
    <v>Nizhny Novgorod Oblast</v>
    <v>691cbf3e-b13a-27a2-730d-d3a89a54588c</v>
    <v>en-US</v>
    <v>Map</v>
  </rv>
  <rv s="0">
    <v>536870912</v>
    <v>Novgorod Oblast</v>
    <v>5c6f11f1-917e-4dd9-5f0f-bca854810e3e</v>
    <v>en-US</v>
    <v>Map</v>
  </rv>
  <rv s="0">
    <v>536870912</v>
    <v>Novosibirsk Oblast</v>
    <v>e05e3666-c6d4-b98c-cf0b-3f8fbdcca509</v>
    <v>en-US</v>
    <v>Map</v>
  </rv>
  <rv s="0">
    <v>536870912</v>
    <v>Omsk Oblast</v>
    <v>ca626861-e115-9a15-2bb4-9047d7b785cd</v>
    <v>en-US</v>
    <v>Map</v>
  </rv>
  <rv s="0">
    <v>536870912</v>
    <v>Orenburg Oblast</v>
    <v>e416ef3d-74dd-73c7-82c5-e10e02791bfb</v>
    <v>en-US</v>
    <v>Map</v>
  </rv>
  <rv s="0">
    <v>536870912</v>
    <v>Oryol Oblast</v>
    <v>30918ef9-6129-11eb-d922-92a0eda65b46</v>
    <v>en-US</v>
    <v>Map</v>
  </rv>
  <rv s="0">
    <v>536870912</v>
    <v>Penza Oblast</v>
    <v>6037735b-86a2-89e3-37b1-b7b82ed427b8</v>
    <v>en-US</v>
    <v>Map</v>
  </rv>
  <rv s="0">
    <v>536870912</v>
    <v>Perm Krai</v>
    <v>e3254562-12b4-8af6-5efc-c33e6b4cc2fd</v>
    <v>en-US</v>
    <v>Map</v>
  </rv>
  <rv s="0">
    <v>536870912</v>
    <v>Pskov Oblast</v>
    <v>c4c338de-2857-ea26-c274-85903024dee2</v>
    <v>en-US</v>
    <v>Map</v>
  </rv>
  <rv s="0">
    <v>536870912</v>
    <v>Rostov Oblast</v>
    <v>05c23ef3-37da-92dc-0d82-db4e339caaa8</v>
    <v>en-US</v>
    <v>Map</v>
  </rv>
  <rv s="0">
    <v>536870912</v>
    <v>Ryazan Oblast</v>
    <v>6c69b62c-3503-7ba4-5d89-faeb0fc23ab3</v>
    <v>en-US</v>
    <v>Map</v>
  </rv>
  <rv s="0">
    <v>536870912</v>
    <v>Samara Oblast</v>
    <v>13d9bea7-a7c1-1b2c-7fb1-e678ddcd7a71</v>
    <v>en-US</v>
    <v>Map</v>
  </rv>
  <rv s="0">
    <v>536870912</v>
    <v>Saratov Oblast</v>
    <v>a391453d-4362-449f-bbe1-00b8176ec2f8</v>
    <v>en-US</v>
    <v>Map</v>
  </rv>
  <rv s="0">
    <v>536870912</v>
    <v>Sakhalin Oblast</v>
    <v>a0ca8508-79a7-09d7-1e4f-84e80916d921</v>
    <v>en-US</v>
    <v>Map</v>
  </rv>
  <rv s="0">
    <v>536870912</v>
    <v>Sverdlovsk Oblast</v>
    <v>32643100-03ea-0c14-f58e-a7d70c8c1468</v>
    <v>en-US</v>
    <v>Map</v>
  </rv>
  <rv s="0">
    <v>536870912</v>
    <v>Smolensk Oblast</v>
    <v>d2bbaf83-1065-8b46-d8df-55a0e9dd6b3a</v>
    <v>en-US</v>
    <v>Map</v>
  </rv>
  <rv s="0">
    <v>536870912</v>
    <v>Tambov Oblast</v>
    <v>c8c484f3-ed59-31b5-c134-bc324e7837a7</v>
    <v>en-US</v>
    <v>Map</v>
  </rv>
  <rv s="0">
    <v>536870912</v>
    <v>Tver Oblast</v>
    <v>43dbfe25-b444-4ee4-6a06-4a0c84faf831</v>
    <v>en-US</v>
    <v>Map</v>
  </rv>
  <rv s="0">
    <v>536870912</v>
    <v>Tomsk Oblast</v>
    <v>4833e982-a51c-b27a-99ba-c7aa39fdbfc5</v>
    <v>en-US</v>
    <v>Map</v>
  </rv>
  <rv s="0">
    <v>536870912</v>
    <v>Tula Oblast</v>
    <v>06958213-9024-c72f-be1d-870a43124549</v>
    <v>en-US</v>
    <v>Map</v>
  </rv>
  <rv s="0">
    <v>536870912</v>
    <v>Tyumen Oblast</v>
    <v>f7074e1e-5809-6c44-a836-391d78cc63b0</v>
    <v>en-US</v>
    <v>Map</v>
  </rv>
  <rv s="0">
    <v>536870912</v>
    <v>Ulyanovsk Oblast</v>
    <v>285ad0e8-dfc5-6c4f-f919-783c565347c2</v>
    <v>en-US</v>
    <v>Map</v>
  </rv>
  <rv s="0">
    <v>536870912</v>
    <v>Chelyabinsk Oblast</v>
    <v>e8506c94-c78a-be96-22a5-f42d90ce4d85</v>
    <v>en-US</v>
    <v>Map</v>
  </rv>
  <rv s="0">
    <v>536870912</v>
    <v>Zabaykalsky Krai</v>
    <v>4eec5a15-6252-a5ba-a675-32f7c3941986</v>
    <v>en-US</v>
    <v>Map</v>
  </rv>
  <rv s="0">
    <v>536870912</v>
    <v>Yaroslavl Oblast</v>
    <v>78a787d0-5bd7-369e-abec-20334f55f284</v>
    <v>en-US</v>
    <v>Map</v>
  </rv>
  <rv s="0">
    <v>536870912</v>
    <v>Saint Petersburg</v>
    <v>e3ed1086-8cd2-4813-dfa1-22d6666852c7</v>
    <v>en-US</v>
    <v>Map</v>
  </rv>
  <rv s="0">
    <v>536870912</v>
    <v>Sevastopol</v>
    <v>1d4e43aa-65a2-a88a-3324-a9ac6e098708</v>
    <v>en-US</v>
    <v>Map</v>
  </rv>
  <rv s="0">
    <v>536870912</v>
    <v>Jewish Autonomous Oblast</v>
    <v>f238d267-34ac-88dc-5e18-ecd8a1d9f1bd</v>
    <v>en-US</v>
    <v>Map</v>
  </rv>
  <rv s="0">
    <v>536870912</v>
    <v>Nenets Autonomous Okrug</v>
    <v>0bfd44fb-94fd-9862-0994-343325ef0e56</v>
    <v>en-US</v>
    <v>Map</v>
  </rv>
  <rv s="0">
    <v>536870912</v>
    <v>Khanty-Mansi Autonomous Okrug</v>
    <v>c54c2f51-aac8-6ea4-fc82-3027ba8cc45b</v>
    <v>en-US</v>
    <v>Map</v>
  </rv>
  <rv s="0">
    <v>536870912</v>
    <v>Chukotka Autonomous Okrug</v>
    <v>32d0b1a4-54c8-f9af-b97c-f05f93680504</v>
    <v>en-US</v>
    <v>Map</v>
  </rv>
  <rv s="0">
    <v>536870912</v>
    <v>Yamalo-Nenets Autonomous Okrug</v>
    <v>9ad3fb88-2ff4-83f3-32a9-b85ad7f10c6c</v>
    <v>en-US</v>
    <v>Map</v>
  </rv>
  <rv s="3">
    <v>10</v>
  </rv>
  <rv s="1">
    <fb>0.11384595754929799</fb>
    <v>25</v>
  </rv>
  <rv s="3">
    <v>11</v>
  </rv>
  <rv s="1">
    <fb>4.5850000381469698E-2</fb>
    <v>33</v>
  </rv>
  <rv s="1">
    <fb>107683889</fb>
    <v>26</v>
  </rv>
  <rv s="5">
    <v>#VALUE!</v>
    <v>en-US</v>
    <v>ed4fce79-8ad4-352b-205b-e4db36c49bbe</v>
    <v>536870912</v>
    <v>1</v>
    <v>44</v>
    <v>18</v>
    <v>Russia</v>
    <v>21</v>
    <v>22</v>
    <v>Map</v>
    <v>23</v>
    <v>45</v>
    <v>RU</v>
    <v>175</v>
    <v>176</v>
    <v>177</v>
    <v>178</v>
    <v>179</v>
    <v>180</v>
    <v>181</v>
    <v>182</v>
    <v>183</v>
    <v>RUB</v>
    <v>Russia, or the Russian Federation, is a country spanning Eastern Europe and Northern Asia. It is the largest country in the world by area, extends across eleven time zones, and shares land boundaries with fourteen countries. It is the world's ninth-most populous country and Europe's most populous country. The country's capital and largest city is Moscow. Saint Petersburg is Russia's cultural centre and second-largest city. Other major urban areas in the country include Novosibirsk, Yekaterinburg, Nizhny Novgorod, Chelyabinsk, Krasnoyarsk, and Kazan.</v>
    <v>184</v>
    <v>185</v>
    <v>186</v>
    <v>187</v>
    <v>188</v>
    <v>189</v>
    <v>190</v>
    <v>191</v>
    <v>192</v>
    <v>193</v>
    <v>180</v>
    <v>196</v>
    <v>197</v>
    <v>198</v>
    <v>199</v>
    <v>200</v>
    <v>201</v>
    <v>Russia</v>
    <v>National anthem of Russia</v>
    <v>202</v>
    <v>Российская Федерация</v>
    <v>203</v>
    <v>204</v>
    <v>205</v>
    <v>206</v>
    <v>207</v>
    <v>208</v>
    <v>118</v>
    <v>209</v>
    <v>210</v>
    <v>211</v>
    <v>212</v>
    <v>295</v>
    <v>296</v>
    <v>297</v>
    <v>37</v>
    <v>298</v>
    <v>Russia</v>
    <v>299</v>
    <v>mdp/vdpid/203</v>
  </rv>
  <rv s="0">
    <v>536870912</v>
    <v>Mongolia</v>
    <v>ea062577-4c66-e22b-7054-abf32c1063b0</v>
    <v>en-US</v>
    <v>Map</v>
  </rv>
  <rv s="1">
    <fb>0.71488840550091393</fb>
    <v>25</v>
  </rv>
  <rv s="1">
    <fb>1564116</fb>
    <v>26</v>
  </rv>
  <rv s="1">
    <fb>18000</fb>
    <v>26</v>
  </rv>
  <rv s="1">
    <fb>24.131</fb>
    <v>27</v>
  </rv>
  <rv s="1">
    <fb>976</fb>
    <v>28</v>
  </rv>
  <rv s="0">
    <v>536870912</v>
    <v>Ulaanbaatar</v>
    <v>c11a6c9b-cae8-fd85-165c-84f646e12623</v>
    <v>en-US</v>
    <v>Map</v>
  </rv>
  <rv s="1">
    <fb>25368.306</fb>
    <v>26</v>
  </rv>
  <rv s="1">
    <fb>195.762902940885</fb>
    <v>29</v>
  </rv>
  <rv s="1">
    <fb>7.3048159748014804E-2</fb>
    <v>25</v>
  </rv>
  <rv s="1">
    <fb>2006.38888095267</fb>
    <v>26</v>
  </rv>
  <rv s="1">
    <fb>2.895</fb>
    <v>27</v>
  </rv>
  <rv s="1">
    <fb>8.0174048837830497E-2</fb>
    <v>25</v>
  </rv>
  <rv s="1">
    <fb>93.199382825958295</fb>
    <v>30</v>
  </rv>
  <rv s="1">
    <fb>0.72</fb>
    <v>31</v>
  </rv>
  <rv s="1">
    <fb>13852850259.485399</fb>
    <v>32</v>
  </rv>
  <rv s="1">
    <fb>1.0404036000000001</fb>
    <v>25</v>
  </rv>
  <rv s="1">
    <fb>0.65595439999999994</fb>
    <v>25</v>
  </rv>
  <rv s="2">
    <v>3</v>
    <v>23</v>
    <v>47</v>
    <v>7</v>
    <v>0</v>
    <v>Image of Mongolia</v>
  </rv>
  <rv s="1">
    <fb>14</fb>
    <v>30</v>
  </rv>
  <rv s="0">
    <v>805306368</v>
    <v>Ukhnaagiin Khürelsükh (President)</v>
    <v>bc801878-ff5f-0137-5b5c-42148a01e142</v>
    <v>en-US</v>
    <v>Generic</v>
  </rv>
  <rv s="0">
    <v>805306368</v>
    <v>Luvsannamsrain Oyun-Erdene (Prime minister)</v>
    <v>8003655e-4b2a-63b8-1fd2-6559bcc5b341</v>
    <v>en-US</v>
    <v>Generic</v>
  </rv>
  <rv s="3">
    <v>12</v>
  </rv>
  <rv s="4">
    <v>https://www.bing.com/search?q=mongolia&amp;form=skydnc</v>
    <v>Learn more on Bing</v>
  </rv>
  <rv s="1">
    <fb>69.688999999999993</fb>
    <v>30</v>
  </rv>
  <rv s="1">
    <fb>45</fb>
    <v>30</v>
  </rv>
  <rv s="1">
    <fb>0.65</fb>
    <v>31</v>
  </rv>
  <rv s="3">
    <v>13</v>
  </rv>
  <rv s="1">
    <fb>0.39295083490000005</fb>
    <v>25</v>
  </rv>
  <rv s="1">
    <fb>2.8592</fb>
    <v>27</v>
  </rv>
  <rv s="1">
    <fb>3409939</fb>
    <v>26</v>
  </rv>
  <rv s="1">
    <fb>0.22500000000000001</fb>
    <v>25</v>
  </rv>
  <rv s="1">
    <fb>0.25700000000000001</fb>
    <v>25</v>
  </rv>
  <rv s="1">
    <fb>0.40899999999999997</fb>
    <v>25</v>
  </rv>
  <rv s="1">
    <fb>7.9000000000000001E-2</fb>
    <v>25</v>
  </rv>
  <rv s="1">
    <fb>0.12300000000000001</fb>
    <v>25</v>
  </rv>
  <rv s="1">
    <fb>0.16500000000000001</fb>
    <v>25</v>
  </rv>
  <rv s="1">
    <fb>0.59675998687744103</fb>
    <v>25</v>
  </rv>
  <rv s="0">
    <v>536870912</v>
    <v>Arkhangai Province</v>
    <v>edd50e4a-5ecc-305a-df7e-74921f647452</v>
    <v>en-US</v>
    <v>Map</v>
  </rv>
  <rv s="0">
    <v>536870912</v>
    <v>Bayan-Ölgii Province</v>
    <v>50c83bc0-6f0f-59ba-f5d1-bcf9ceb80062</v>
    <v>en-US</v>
    <v>Map</v>
  </rv>
  <rv s="0">
    <v>536870912</v>
    <v>Bayankhongor Province</v>
    <v>6cd2c4a5-4966-4b19-3238-7a58159b158a</v>
    <v>en-US</v>
    <v>Map</v>
  </rv>
  <rv s="0">
    <v>536870912</v>
    <v>Bulgan Province</v>
    <v>e3437407-0307-eaea-a174-7efe4ce6eef5</v>
    <v>en-US</v>
    <v>Map</v>
  </rv>
  <rv s="0">
    <v>536870912</v>
    <v>Darkhan-Uul Province</v>
    <v>c8aeff9e-52e2-62e9-6a80-1e8d4e295a44</v>
    <v>en-US</v>
    <v>Map</v>
  </rv>
  <rv s="0">
    <v>536870912</v>
    <v>Dornod Province</v>
    <v>e0525b6e-3acb-9b47-cdcd-1f3b551cdf1b</v>
    <v>en-US</v>
    <v>Map</v>
  </rv>
  <rv s="0">
    <v>536870912</v>
    <v>Dornogovi Province</v>
    <v>83fd1fbf-9885-13dd-5f94-776cb9aaf282</v>
    <v>en-US</v>
    <v>Map</v>
  </rv>
  <rv s="0">
    <v>536870912</v>
    <v>Dundgobi Province</v>
    <v>81437413-692a-683c-d1d6-72f105203c6b</v>
    <v>en-US</v>
    <v>Map</v>
  </rv>
  <rv s="0">
    <v>536870912</v>
    <v>Govi-Altai Province</v>
    <v>c8bf4ce2-d29e-8a68-6052-28112a2e41f2</v>
    <v>en-US</v>
    <v>Map</v>
  </rv>
  <rv s="0">
    <v>536870912</v>
    <v>Govisümber Province</v>
    <v>8825bc76-9d25-63a9-fef6-7b13f2b456ae</v>
    <v>en-US</v>
    <v>Map</v>
  </rv>
  <rv s="0">
    <v>536870912</v>
    <v>Khentii Province</v>
    <v>f1aa4d79-c82c-7fa9-0808-63e4bb7a84a6</v>
    <v>en-US</v>
    <v>Map</v>
  </rv>
  <rv s="0">
    <v>536870912</v>
    <v>Khovd Province</v>
    <v>9579df50-cdf8-e0f5-1366-2f94d9268421</v>
    <v>en-US</v>
    <v>Map</v>
  </rv>
  <rv s="0">
    <v>536870912</v>
    <v>Khövsgöl Province</v>
    <v>980dcf67-5ab3-8f72-810e-b08e04e958bc</v>
    <v>en-US</v>
    <v>Map</v>
  </rv>
  <rv s="0">
    <v>536870912</v>
    <v>Orkhon Province</v>
    <v>9a9fbd7c-1921-d5b2-18f3-e6db75d8c628</v>
    <v>en-US</v>
    <v>Map</v>
  </rv>
  <rv s="0">
    <v>536870912</v>
    <v>Övörkhangai Province</v>
    <v>f72f2a5b-aa15-a3f1-54be-0d059ad7c7b2</v>
    <v>en-US</v>
    <v>Map</v>
  </rv>
  <rv s="0">
    <v>536870912</v>
    <v>Selenge Province</v>
    <v>8d58b013-7c74-c2c9-c4e9-f248a88ead31</v>
    <v>en-US</v>
    <v>Map</v>
  </rv>
  <rv s="0">
    <v>536870912</v>
    <v>Sükhbaatar Province</v>
    <v>9ac4b054-5253-dbe4-1f52-dfc13c9df5eb</v>
    <v>en-US</v>
    <v>Map</v>
  </rv>
  <rv s="0">
    <v>536870912</v>
    <v>Töv Province</v>
    <v>ff8d47ea-055d-0d90-3dee-9fa1f9dc0682</v>
    <v>en-US</v>
    <v>Map</v>
  </rv>
  <rv s="0">
    <v>536870912</v>
    <v>Uvs Province</v>
    <v>06abb258-94fa-9b40-34c2-ed3ee6456d79</v>
    <v>en-US</v>
    <v>Map</v>
  </rv>
  <rv s="0">
    <v>536870912</v>
    <v>Zavkhan Province</v>
    <v>fda03c42-cec6-29f7-632e-3a19bc1ac52e</v>
    <v>en-US</v>
    <v>Map</v>
  </rv>
  <rv s="3">
    <v>14</v>
  </rv>
  <rv s="1">
    <fb>0.16776784623697399</fb>
    <v>25</v>
  </rv>
  <rv s="3">
    <v>15</v>
  </rv>
  <rv s="1">
    <fb>6.0110001564025899E-2</fb>
    <v>33</v>
  </rv>
  <rv s="1">
    <fb>2210626</fb>
    <v>26</v>
  </rv>
  <rv s="6">
    <v>#VALUE!</v>
    <v>en-US</v>
    <v>ea062577-4c66-e22b-7054-abf32c1063b0</v>
    <v>536870912</v>
    <v>1</v>
    <v>50</v>
    <v>51</v>
    <v>Mongolia</v>
    <v>21</v>
    <v>22</v>
    <v>Map</v>
    <v>23</v>
    <v>52</v>
    <v>MN</v>
    <v>302</v>
    <v>303</v>
    <v>304</v>
    <v>305</v>
    <v>306</v>
    <v>307</v>
    <v>308</v>
    <v>309</v>
    <v>310</v>
    <v>MNT</v>
    <v>Mongolia is a landlocked country in East Asia, bordered by Russia to the north and China to the south. It covers an area of 1,564,116 square kilometres, with a population of just 3.3 million, making it the world's most sparsely populated sovereign state. Mongolia is the world's largest landlocked country that does not border a closed sea, and much of its area is covered by grassy steppe, with mountains to the north and west and the Gobi Desert to the south. Ulaanbaatar, the capital and largest city, is home to roughly half of the country's population.</v>
    <v>311</v>
    <v>312</v>
    <v>313</v>
    <v>314</v>
    <v>315</v>
    <v>316</v>
    <v>317</v>
    <v>318</v>
    <v>319</v>
    <v>320</v>
    <v>307</v>
    <v>323</v>
    <v>324</v>
    <v>325</v>
    <v>326</v>
    <v>327</v>
    <v>Mongolia</v>
    <v>National anthem of Mongolia</v>
    <v>328</v>
    <v>Mongolie</v>
    <v>329</v>
    <v>330</v>
    <v>331</v>
    <v>332</v>
    <v>333</v>
    <v>334</v>
    <v>38</v>
    <v>335</v>
    <v>336</v>
    <v>337</v>
    <v>338</v>
    <v>359</v>
    <v>360</v>
    <v>361</v>
    <v>333</v>
    <v>362</v>
    <v>Mongolia</v>
    <v>363</v>
    <v>mdp/vdpid/154</v>
  </rv>
  <rv s="0">
    <v>536870912</v>
    <v>Thailand</v>
    <v>588bd4b9-e440-b7eb-2cab-2a54c0458548</v>
    <v>en-US</v>
    <v>Map</v>
  </rv>
  <rv s="1">
    <fb>0.43277417839456594</fb>
    <v>25</v>
  </rv>
  <rv s="1">
    <fb>513119.5</fb>
    <v>26</v>
  </rv>
  <rv s="1">
    <fb>455000</fb>
    <v>26</v>
  </rv>
  <rv s="1">
    <fb>10.343999999999999</fb>
    <v>27</v>
  </rv>
  <rv s="1">
    <fb>66</fb>
    <v>28</v>
  </rv>
  <rv s="0">
    <v>536870912</v>
    <v>Bangkok</v>
    <v>651e796f-a780-c032-4e9c-23e5f5fe5854</v>
    <v>en-US</v>
    <v>Map</v>
  </rv>
  <rv s="1">
    <fb>283763.46100000001</fb>
    <v>26</v>
  </rv>
  <rv s="1">
    <fb>113.265649996346</fb>
    <v>29</v>
  </rv>
  <rv s="1">
    <fb>7.0672860131430508E-3</fb>
    <v>25</v>
  </rv>
  <rv s="1">
    <fb>2538.79638035364</fb>
    <v>26</v>
  </rv>
  <rv s="1">
    <fb>1.5249999999999999</fb>
    <v>27</v>
  </rv>
  <rv s="1">
    <fb>0.32157607312728798</fb>
    <v>25</v>
  </rv>
  <rv s="1">
    <fb>79.839022650550007</fb>
    <v>30</v>
  </rv>
  <rv s="1">
    <fb>0.71</fb>
    <v>31</v>
  </rv>
  <rv s="1">
    <fb>543649976165.63</fb>
    <v>32</v>
  </rv>
  <rv s="1">
    <fb>0.99774360000000006</fb>
    <v>25</v>
  </rv>
  <rv s="1">
    <fb>0.49286810000000003</fb>
    <v>25</v>
  </rv>
  <rv s="2">
    <v>4</v>
    <v>23</v>
    <v>54</v>
    <v>7</v>
    <v>0</v>
    <v>Image of Thailand</v>
  </rv>
  <rv s="1">
    <fb>7.8</fb>
    <v>30</v>
  </rv>
  <rv s="0">
    <v>805306368</v>
    <v>Vajiralongkorn (Monarch)</v>
    <v>838f8fba-7ce1-3cb6-caf3-eadcdd6d67c4</v>
    <v>en-US</v>
    <v>Generic</v>
  </rv>
  <rv s="0">
    <v>805306368</v>
    <v>Srettha Thavisin (Prime minister)</v>
    <v>df7e055c-ffb1-de44-0c65-3085de0bdc08</v>
    <v>en-US</v>
    <v>Generic</v>
  </rv>
  <rv s="3">
    <v>16</v>
  </rv>
  <rv s="4">
    <v>https://www.bing.com/search?q=thailand&amp;form=skydnc</v>
    <v>Learn more on Bing</v>
  </rv>
  <rv s="1">
    <fb>76.930999999999997</fb>
    <v>30</v>
  </rv>
  <rv s="1">
    <fb>569228320000</fb>
    <v>32</v>
  </rv>
  <rv s="1">
    <fb>37</fb>
    <v>30</v>
  </rv>
  <rv s="3">
    <v>17</v>
  </rv>
  <rv s="1">
    <fb>0.11765354909999999</fb>
    <v>25</v>
  </rv>
  <rv s="1">
    <fb>0.80500000000000005</fb>
    <v>27</v>
  </rv>
  <rv s="1">
    <fb>71601103</fb>
    <v>26</v>
  </rv>
  <rv s="1">
    <fb>0.222</fb>
    <v>25</v>
  </rv>
  <rv s="1">
    <fb>0.28100000000000003</fb>
    <v>25</v>
  </rv>
  <rv s="1">
    <fb>0.44</fb>
    <v>25</v>
  </rv>
  <rv s="1">
    <fb>0.03</fb>
    <v>25</v>
  </rv>
  <rv s="1">
    <fb>7.2000000000000008E-2</fb>
    <v>25</v>
  </rv>
  <rv s="1">
    <fb>0.155</fb>
    <v>25</v>
  </rv>
  <rv s="1">
    <fb>0.67325996398925791</fb>
    <v>25</v>
  </rv>
  <rv s="0">
    <v>536870912</v>
    <v>Chiang Mai province</v>
    <v>ec21839a-048d-d7f2-68f9-73688da0c93d</v>
    <v>en-US</v>
    <v>Map</v>
  </rv>
  <rv s="0">
    <v>536870912</v>
    <v>Chiang Rai province</v>
    <v>773cf086-b01f-6641-3201-e1cb9355ccf9</v>
    <v>en-US</v>
    <v>Map</v>
  </rv>
  <rv s="0">
    <v>536870912</v>
    <v>Lampang province</v>
    <v>ea3b275a-ae62-b46c-be21-4f66c21cf992</v>
    <v>en-US</v>
    <v>Map</v>
  </rv>
  <rv s="0">
    <v>536870912</v>
    <v>Lamphun province</v>
    <v>d37b9cb6-896b-23c8-17ae-5cd391241ada</v>
    <v>en-US</v>
    <v>Map</v>
  </rv>
  <rv s="0">
    <v>536870912</v>
    <v>Mae Hong Son province</v>
    <v>220094e8-a250-8e9a-0ae9-19272c634f8b</v>
    <v>en-US</v>
    <v>Map</v>
  </rv>
  <rv s="0">
    <v>536870912</v>
    <v>Nan province</v>
    <v>c2231910-8e0c-3f11-ee64-9812ca91010f</v>
    <v>en-US</v>
    <v>Map</v>
  </rv>
  <rv s="0">
    <v>536870912</v>
    <v>Phayao province</v>
    <v>58fbb830-cd58-6852-5600-332a50023b7d</v>
    <v>en-US</v>
    <v>Map</v>
  </rv>
  <rv s="0">
    <v>536870912</v>
    <v>Phrae province</v>
    <v>1c56ac66-0095-e89e-3205-89e7e4a9078c</v>
    <v>en-US</v>
    <v>Map</v>
  </rv>
  <rv s="0">
    <v>536870912</v>
    <v>Uttaradit province</v>
    <v>7afa7c5a-244d-03f0-7fc4-689f94788bdb</v>
    <v>en-US</v>
    <v>Map</v>
  </rv>
  <rv s="0">
    <v>536870912</v>
    <v>Kanchanaburi province</v>
    <v>78829daf-4fa5-5c2d-9f10-4da1ebbb7b07</v>
    <v>en-US</v>
    <v>Map</v>
  </rv>
  <rv s="0">
    <v>536870912</v>
    <v>Phetchaburi province</v>
    <v>24d7d851-f000-498e-4b14-950395383091</v>
    <v>en-US</v>
    <v>Map</v>
  </rv>
  <rv s="0">
    <v>536870912</v>
    <v>Prachuap Khiri Khan province</v>
    <v>f02632b4-4ca3-476d-b8ca-6d6eeca727b5</v>
    <v>en-US</v>
    <v>Map</v>
  </rv>
  <rv s="0">
    <v>536870912</v>
    <v>Ratchaburi province</v>
    <v>9106e633-4925-4a04-b58f-0ed8024ae947</v>
    <v>en-US</v>
    <v>Map</v>
  </rv>
  <rv s="0">
    <v>536870912</v>
    <v>Tak province</v>
    <v>243b2c7d-8668-e11f-6500-7bf8544652a1</v>
    <v>en-US</v>
    <v>Map</v>
  </rv>
  <rv s="0">
    <v>536870912</v>
    <v>Amnat Charoen province</v>
    <v>a3e2255c-2d4c-6a39-ee14-acb4b82794da</v>
    <v>en-US</v>
    <v>Map</v>
  </rv>
  <rv s="0">
    <v>536870912</v>
    <v>Buri Ram</v>
    <v>286bf73d-595c-88a0-198d-d63ade1a7db0</v>
    <v>en-US</v>
    <v>Map</v>
  </rv>
  <rv s="0">
    <v>536870912</v>
    <v>Chaiyaphum province</v>
    <v>95db73b8-fa30-ad09-16f1-ce5277ecdcc7</v>
    <v>en-US</v>
    <v>Map</v>
  </rv>
  <rv s="0">
    <v>536870912</v>
    <v>Kalasin province</v>
    <v>a8164165-4567-027a-d2ff-7bb056e870e8</v>
    <v>en-US</v>
    <v>Map</v>
  </rv>
  <rv s="0">
    <v>536870912</v>
    <v>Khon Kaen province</v>
    <v>e2d66065-6e59-a164-1343-8f12f640920b</v>
    <v>en-US</v>
    <v>Map</v>
  </rv>
  <rv s="0">
    <v>536870912</v>
    <v>Loei province</v>
    <v>e58d9875-c305-ee1f-05ef-1fdf818e52db</v>
    <v>en-US</v>
    <v>Map</v>
  </rv>
  <rv s="0">
    <v>536870912</v>
    <v>Maha Sarakham province</v>
    <v>ed8e7a88-5ca7-1c3c-095f-53c3c392ca36</v>
    <v>en-US</v>
    <v>Map</v>
  </rv>
  <rv s="0">
    <v>536870912</v>
    <v>Mukdahan province</v>
    <v>183e95bf-ae60-ffc8-cd43-8bd722ea5cad</v>
    <v>en-US</v>
    <v>Map</v>
  </rv>
  <rv s="0">
    <v>536870912</v>
    <v>Nakhon Phanom province</v>
    <v>b431d58e-d6c9-cf67-b191-473f5b3d1e8d</v>
    <v>en-US</v>
    <v>Map</v>
  </rv>
  <rv s="0">
    <v>536870912</v>
    <v>Nakhon Ratchasima province</v>
    <v>7ce7803a-8dd0-1cde-8139-69ebef62dfa9</v>
    <v>en-US</v>
    <v>Map</v>
  </rv>
  <rv s="0">
    <v>536870912</v>
    <v>Nong Bua Lamphu province</v>
    <v>f506fb74-64c3-e442-eb93-23f39d769940</v>
    <v>en-US</v>
    <v>Map</v>
  </rv>
  <rv s="0">
    <v>536870912</v>
    <v>Nong Khai province</v>
    <v>8c153c99-d1d5-8939-8e38-a4771dab046e</v>
    <v>en-US</v>
    <v>Map</v>
  </rv>
  <rv s="0">
    <v>536870912</v>
    <v>Roi Et province</v>
    <v>85d9a1b9-72b1-8c2d-c8ae-a1a4ebeabff1</v>
    <v>en-US</v>
    <v>Map</v>
  </rv>
  <rv s="0">
    <v>536870912</v>
    <v>Sakon Nakhon province</v>
    <v>643c56ea-b791-7a7b-1715-4fb369e4828b</v>
    <v>en-US</v>
    <v>Map</v>
  </rv>
  <rv s="0">
    <v>536870912</v>
    <v>Si Sa Ket</v>
    <v>efff8ff8-a9e2-ff41-f162-5fe167bc2f68</v>
    <v>en-US</v>
    <v>Map</v>
  </rv>
  <rv s="0">
    <v>536870912</v>
    <v>Surin province</v>
    <v>bcfc86b1-45fe-cae6-e72b-124be7c0ec4c</v>
    <v>en-US</v>
    <v>Map</v>
  </rv>
  <rv s="0">
    <v>536870912</v>
    <v>Ubon Ratchathani province</v>
    <v>9799346e-1d7b-454c-1596-f7cfec285b4f</v>
    <v>en-US</v>
    <v>Map</v>
  </rv>
  <rv s="0">
    <v>536870912</v>
    <v>Udon Thani province</v>
    <v>f98afd3c-06df-6455-f66f-2905e60856a2</v>
    <v>en-US</v>
    <v>Map</v>
  </rv>
  <rv s="0">
    <v>536870912</v>
    <v>Yasothon province</v>
    <v>b691e27e-bdb8-cf25-87ee-76541e6804e2</v>
    <v>en-US</v>
    <v>Map</v>
  </rv>
  <rv s="0">
    <v>536870912</v>
    <v>Bueng Kan province</v>
    <v>a4160bb6-525a-4048-8b1c-f189304eeb89</v>
    <v>en-US</v>
    <v>Map</v>
  </rv>
  <rv s="0">
    <v>536870912</v>
    <v>Ang Thong province</v>
    <v>3b530508-becc-3215-2c96-0b9e1b51f154</v>
    <v>en-US</v>
    <v>Map</v>
  </rv>
  <rv s="0">
    <v>536870912</v>
    <v>Phra Nakhon Si Ayutthaya province</v>
    <v>578e9ec0-ecf1-f532-a8a1-18a5e9597ac1</v>
    <v>en-US</v>
    <v>Map</v>
  </rv>
  <rv s="0">
    <v>536870912</v>
    <v>Chai Nat province</v>
    <v>2ce7514f-a8ea-6fa8-4dd1-da4225bd72b8</v>
    <v>en-US</v>
    <v>Map</v>
  </rv>
  <rv s="0">
    <v>536870912</v>
    <v>Kamphaeng Phet province</v>
    <v>b90a4bac-0833-3612-3e23-e8e94bc63851</v>
    <v>en-US</v>
    <v>Map</v>
  </rv>
  <rv s="0">
    <v>536870912</v>
    <v>Lopburi province</v>
    <v>ceae64d6-76e9-5c56-fff7-00643272f340</v>
    <v>en-US</v>
    <v>Map</v>
  </rv>
  <rv s="0">
    <v>536870912</v>
    <v>Nakhon Nayok province</v>
    <v>c79375e7-7f58-a4e5-8d37-2d475d0b3ade</v>
    <v>en-US</v>
    <v>Map</v>
  </rv>
  <rv s="0">
    <v>536870912</v>
    <v>Nakhon Pathom province</v>
    <v>e0d61a62-637b-f7a9-232d-82400c4c113b</v>
    <v>en-US</v>
    <v>Map</v>
  </rv>
  <rv s="0">
    <v>536870912</v>
    <v>Nakhon Sawan province</v>
    <v>8d29908e-40c6-7b33-244d-14818fc17c76</v>
    <v>en-US</v>
    <v>Map</v>
  </rv>
  <rv s="0">
    <v>536870912</v>
    <v>Nonthaburi province</v>
    <v>38a59c88-5429-4d6c-b137-db4bef343bae</v>
    <v>en-US</v>
    <v>Map</v>
  </rv>
  <rv s="0">
    <v>536870912</v>
    <v>Pathum Thani province</v>
    <v>a4631966-30fd-7622-899c-11205340b931</v>
    <v>en-US</v>
    <v>Map</v>
  </rv>
  <rv s="0">
    <v>536870912</v>
    <v>Phetchabun province</v>
    <v>96583f01-5ecf-e761-123a-bbd7a098a0af</v>
    <v>en-US</v>
    <v>Map</v>
  </rv>
  <rv s="0">
    <v>536870912</v>
    <v>Phichit province</v>
    <v>1df4e6ac-5ca1-5d05-bdf2-8f2a41a56be6</v>
    <v>en-US</v>
    <v>Map</v>
  </rv>
  <rv s="0">
    <v>536870912</v>
    <v>Phitsanulok province</v>
    <v>99f5afe8-6528-aa85-8e99-e1d4b74eecb9</v>
    <v>en-US</v>
    <v>Map</v>
  </rv>
  <rv s="0">
    <v>536870912</v>
    <v>Sukhothai province</v>
    <v>0a6402e0-1579-efc4-94ee-731b92d86d30</v>
    <v>en-US</v>
    <v>Map</v>
  </rv>
  <rv s="0">
    <v>536870912</v>
    <v>Samut Prakan province</v>
    <v>4fca47ef-6db5-529c-d8cc-7233dae78274</v>
    <v>en-US</v>
    <v>Map</v>
  </rv>
  <rv s="0">
    <v>536870912</v>
    <v>Samut Sakhon province</v>
    <v>e980786c-cdbc-c326-bccd-3ef129d64795</v>
    <v>en-US</v>
    <v>Map</v>
  </rv>
  <rv s="0">
    <v>536870912</v>
    <v>Samut Songkhram province</v>
    <v>6981b8c3-86e5-2eb3-b5b0-dca3df5b623d</v>
    <v>en-US</v>
    <v>Map</v>
  </rv>
  <rv s="0">
    <v>536870912</v>
    <v>Saraburi province</v>
    <v>fc7f8d5c-4c87-0cc6-10a0-48e2cb2cbf12</v>
    <v>en-US</v>
    <v>Map</v>
  </rv>
  <rv s="0">
    <v>536870912</v>
    <v>Sing Buri province</v>
    <v>6130b71a-93d5-381b-8994-6c662c98368f</v>
    <v>en-US</v>
    <v>Map</v>
  </rv>
  <rv s="0">
    <v>536870912</v>
    <v>Suphan Buri province</v>
    <v>128d66e6-6c6c-7b30-fcd2-4a52c17fba2f</v>
    <v>en-US</v>
    <v>Map</v>
  </rv>
  <rv s="0">
    <v>536870912</v>
    <v>Uthai Thani province</v>
    <v>b43cdfd9-80ff-1611-dc6e-e1252fbdc043</v>
    <v>en-US</v>
    <v>Map</v>
  </rv>
  <rv s="0">
    <v>536870912</v>
    <v>Chachoengsao province</v>
    <v>65d6edef-7834-54a9-e3dd-9960101fd398</v>
    <v>en-US</v>
    <v>Map</v>
  </rv>
  <rv s="0">
    <v>536870912</v>
    <v>Chanthaburi province</v>
    <v>7e320113-f3bc-a68a-e3e2-32a306211183</v>
    <v>en-US</v>
    <v>Map</v>
  </rv>
  <rv s="0">
    <v>536870912</v>
    <v>Chon Buri</v>
    <v>51facd2e-84fc-996e-b57b-f36d2fd58e2f</v>
    <v>en-US</v>
    <v>Map</v>
  </rv>
  <rv s="0">
    <v>536870912</v>
    <v>Prachin Buri</v>
    <v>014a3f63-d8f1-79a4-bc41-df01b86d6dc0</v>
    <v>en-US</v>
    <v>Map</v>
  </rv>
  <rv s="0">
    <v>536870912</v>
    <v>Rayong province</v>
    <v>e967d008-0fd5-839d-5f76-1239ea9a3d78</v>
    <v>en-US</v>
    <v>Map</v>
  </rv>
  <rv s="0">
    <v>536870912</v>
    <v>Sa Kaeo province</v>
    <v>8822c0d1-49f1-ef37-2d74-4236bdae7db2</v>
    <v>en-US</v>
    <v>Map</v>
  </rv>
  <rv s="0">
    <v>536870912</v>
    <v>Trat province</v>
    <v>9a550417-ad10-bbc6-94db-81ea617698ac</v>
    <v>en-US</v>
    <v>Map</v>
  </rv>
  <rv s="0">
    <v>536870912</v>
    <v>Chumphon province</v>
    <v>f41d048f-3362-a5c8-e21b-0a64c129467e</v>
    <v>en-US</v>
    <v>Map</v>
  </rv>
  <rv s="0">
    <v>536870912</v>
    <v>Krabi province</v>
    <v>4cd9acbf-b437-bb27-ea9a-d3d74997c2ad</v>
    <v>en-US</v>
    <v>Map</v>
  </rv>
  <rv s="0">
    <v>536870912</v>
    <v>Nakhon Si Thammarat province</v>
    <v>bd31e26b-e9fb-5bfb-a24d-f97a2010852d</v>
    <v>en-US</v>
    <v>Map</v>
  </rv>
  <rv s="0">
    <v>536870912</v>
    <v>Narathiwat province</v>
    <v>920b263b-f271-938d-3446-028731fe8698</v>
    <v>en-US</v>
    <v>Map</v>
  </rv>
  <rv s="0">
    <v>536870912</v>
    <v>Pattani province</v>
    <v>19227138-e1ac-2ebe-45af-dec9111e9931</v>
    <v>en-US</v>
    <v>Map</v>
  </rv>
  <rv s="0">
    <v>536870912</v>
    <v>Phang Nga province</v>
    <v>e6a34126-0490-3447-3fb6-fdd8bf0b7afe</v>
    <v>en-US</v>
    <v>Map</v>
  </rv>
  <rv s="0">
    <v>536870912</v>
    <v>Phatthalung province</v>
    <v>b443801d-894b-7e2b-fe41-182a7f70dabd</v>
    <v>en-US</v>
    <v>Map</v>
  </rv>
  <rv s="0">
    <v>536870912</v>
    <v>Ranong province</v>
    <v>fbdf6111-bf54-12d4-c6d1-95590b109932</v>
    <v>en-US</v>
    <v>Map</v>
  </rv>
  <rv s="0">
    <v>536870912</v>
    <v>Satun province</v>
    <v>514729e9-3ba9-13c3-90e2-2b9fc1e5562f</v>
    <v>en-US</v>
    <v>Map</v>
  </rv>
  <rv s="0">
    <v>536870912</v>
    <v>Songkhla province</v>
    <v>0e2aa654-5226-84b6-807e-5786195cb93c</v>
    <v>en-US</v>
    <v>Map</v>
  </rv>
  <rv s="0">
    <v>536870912</v>
    <v>Surat Thani province</v>
    <v>e9f26cf5-c566-940d-61f7-5ce884ac07f3</v>
    <v>en-US</v>
    <v>Map</v>
  </rv>
  <rv s="0">
    <v>536870912</v>
    <v>Trang province</v>
    <v>674457b4-7466-8dd8-d488-e2285a57a9a8</v>
    <v>en-US</v>
    <v>Map</v>
  </rv>
  <rv s="0">
    <v>536870912</v>
    <v>Yala province</v>
    <v>e1a596b2-50dd-aa13-03aa-db9fe1a505e3</v>
    <v>en-US</v>
    <v>Map</v>
  </rv>
  <rv s="3">
    <v>18</v>
  </rv>
  <rv s="1">
    <fb>0.14927746956191601</fb>
    <v>25</v>
  </rv>
  <rv s="3">
    <v>19</v>
  </rv>
  <rv s="1">
    <fb>0.29499999999999998</fb>
    <v>25</v>
  </rv>
  <rv s="1">
    <fb>7.5400000810623199E-3</fb>
    <v>33</v>
  </rv>
  <rv s="1">
    <fb>35294600</fb>
    <v>26</v>
  </rv>
  <rv s="5">
    <v>#VALUE!</v>
    <v>en-US</v>
    <v>588bd4b9-e440-b7eb-2cab-2a54c0458548</v>
    <v>536870912</v>
    <v>1</v>
    <v>57</v>
    <v>18</v>
    <v>Thailand</v>
    <v>21</v>
    <v>22</v>
    <v>Map</v>
    <v>23</v>
    <v>58</v>
    <v>TH</v>
    <v>366</v>
    <v>367</v>
    <v>368</v>
    <v>369</v>
    <v>370</v>
    <v>371</v>
    <v>372</v>
    <v>373</v>
    <v>374</v>
    <v>THB</v>
    <v>Thailand, officially the Kingdom of Thailand and historically known as Siam, is a country in Southeast Asia on the Indochinese Peninsula. With a population of almost 70 million, it spans 513,120 square kilometres. Thailand is bordered to the north by Myanmar and Laos, to the east by Laos and Cambodia, to the south by the Gulf of Thailand and Malaysia, and to the west by the Andaman Sea; it also shares maritime borders with Vietnam to the southeast, and Indonesia and India to the southwest. Bangkok is the nation's capital and largest city.</v>
    <v>375</v>
    <v>376</v>
    <v>377</v>
    <v>378</v>
    <v>379</v>
    <v>380</v>
    <v>381</v>
    <v>382</v>
    <v>383</v>
    <v>384</v>
    <v>371</v>
    <v>387</v>
    <v>388</v>
    <v>389</v>
    <v>390</v>
    <v>391</v>
    <v>98</v>
    <v>Thailand</v>
    <v>Thai National Anthem</v>
    <v>392</v>
    <v>ราชอาณาจักรไทย</v>
    <v>393</v>
    <v>394</v>
    <v>395</v>
    <v>396</v>
    <v>397</v>
    <v>398</v>
    <v>399</v>
    <v>400</v>
    <v>40</v>
    <v>401</v>
    <v>402</v>
    <v>478</v>
    <v>479</v>
    <v>480</v>
    <v>481</v>
    <v>482</v>
    <v>Thailand</v>
    <v>483</v>
    <v>mdp/vdpid/227</v>
  </rv>
  <rv s="0">
    <v>536870912</v>
    <v>Georgia</v>
    <v>4fe7777a-3d26-0e6a-243d-ae6d45c843c6</v>
    <v>en-US</v>
    <v>Map</v>
  </rv>
  <rv s="1">
    <fb>0.34451000143905602</fb>
    <v>25</v>
  </rv>
  <rv s="1">
    <fb>69700</fb>
    <v>26</v>
  </rv>
  <rv s="1">
    <fb>26000</fb>
    <v>26</v>
  </rv>
  <rv s="1">
    <fb>13.472</fb>
    <v>27</v>
  </rv>
  <rv s="1">
    <fb>995</fb>
    <v>28</v>
  </rv>
  <rv s="0">
    <v>536870912</v>
    <v>Tbilisi</v>
    <v>31ae24b1-d13b-8788-7bd5-9f35a3a73a51</v>
    <v>en-US</v>
    <v>Map</v>
  </rv>
  <rv s="1">
    <fb>10128.254000000001</fb>
    <v>26</v>
  </rv>
  <rv s="1">
    <fb>133.61246666666699</fb>
    <v>29</v>
  </rv>
  <rv s="1">
    <fb>4.8528982169673093E-2</fb>
    <v>25</v>
  </rv>
  <rv s="1">
    <fb>2693.9727602251301</fb>
    <v>26</v>
  </rv>
  <rv s="1">
    <fb>2.06</fb>
    <v>27</v>
  </rv>
  <rv s="1">
    <fb>0.40615914553802701</fb>
    <v>25</v>
  </rv>
  <rv s="1">
    <fb>72.209535338091399</fb>
    <v>30</v>
  </rv>
  <rv s="1">
    <fb>0.76</fb>
    <v>31</v>
  </rv>
  <rv s="1">
    <fb>17743195770.199799</fb>
    <v>32</v>
  </rv>
  <rv s="1">
    <fb>0.98630840000000009</fb>
    <v>25</v>
  </rv>
  <rv s="1">
    <fb>0.63915500000000003</fb>
    <v>25</v>
  </rv>
  <rv s="2">
    <v>5</v>
    <v>23</v>
    <v>60</v>
    <v>7</v>
    <v>0</v>
    <v>Image of Georgia</v>
  </rv>
  <rv s="1">
    <fb>8.6999999999999993</fb>
    <v>30</v>
  </rv>
  <rv s="0">
    <v>805306368</v>
    <v>Salome Zourabichvili (President)</v>
    <v>564492b1-3b3e-d77b-03a2-8d7b3fddcfe7</v>
    <v>en-US</v>
    <v>Generic</v>
  </rv>
  <rv s="0">
    <v>805306368</v>
    <v>Irakli Garibashvili (Prime minister)</v>
    <v>b22c9d0c-6e76-42c7-8466-8ab88369178c</v>
    <v>en-US</v>
    <v>Generic</v>
  </rv>
  <rv s="3">
    <v>20</v>
  </rv>
  <rv s="4">
    <v>https://www.bing.com/search?q=georgia+country&amp;form=skydnc</v>
    <v>Learn more on Bing</v>
  </rv>
  <rv s="1">
    <fb>73.599999999999994</fb>
    <v>30</v>
  </rv>
  <rv s="1">
    <fb>25</fb>
    <v>30</v>
  </rv>
  <rv s="1">
    <fb>0.05</fb>
    <v>31</v>
  </rv>
  <rv s="3">
    <v>21</v>
  </rv>
  <rv s="1">
    <fb>0.57324335049999997</fb>
    <v>25</v>
  </rv>
  <rv s="1">
    <fb>7.1200999999999999</fb>
    <v>27</v>
  </rv>
  <rv s="1">
    <fb>3708610</fb>
    <v>26</v>
  </rv>
  <rv s="1">
    <fb>0.22600000000000001</fb>
    <v>25</v>
  </rv>
  <rv s="1">
    <fb>0.27500000000000002</fb>
    <v>25</v>
  </rv>
  <rv s="1">
    <fb>0.43200000000000005</fb>
    <v>25</v>
  </rv>
  <rv s="1">
    <fb>2.4E-2</fb>
    <v>25</v>
  </rv>
  <rv s="1">
    <fb>6.5000000000000002E-2</fb>
    <v>25</v>
  </rv>
  <rv s="1">
    <fb>0.115</fb>
    <v>25</v>
  </rv>
  <rv s="1">
    <fb>0.16200000000000001</fb>
    <v>25</v>
  </rv>
  <rv s="1">
    <fb>0.68330001831054699</fb>
    <v>25</v>
  </rv>
  <rv s="0">
    <v>536870912</v>
    <v>Samegrelo-Zemo Svaneti</v>
    <v>4c57c2ff-4126-2927-dcb3-d13b075bcea2</v>
    <v>en-US</v>
    <v>Map</v>
  </rv>
  <rv s="0">
    <v>536870912</v>
    <v>Imereti</v>
    <v>1e812f4a-2025-a07a-65fb-7d5182bf6910</v>
    <v>en-US</v>
    <v>Map</v>
  </rv>
  <rv s="0">
    <v>536870912</v>
    <v>Kakheti</v>
    <v>2d9dd9c7-4159-0218-a43f-842dc3bac8ca</v>
    <v>en-US</v>
    <v>Map</v>
  </rv>
  <rv s="0">
    <v>536870912</v>
    <v>Samtskhe–Javakheti</v>
    <v>4a965a54-ebbf-cb0a-4ed0-1f3237b44c59</v>
    <v>en-US</v>
    <v>Map</v>
  </rv>
  <rv s="0">
    <v>536870912</v>
    <v>Shida Kartli</v>
    <v>2b343c6e-cd2f-1b9c-d41e-cd43884fa7e5</v>
    <v>en-US</v>
    <v>Map</v>
  </rv>
  <rv s="0">
    <v>536870912</v>
    <v>Kvemo Kartli</v>
    <v>ba6884b7-61d6-dace-1237-09861b476d99</v>
    <v>en-US</v>
    <v>Map</v>
  </rv>
  <rv s="0">
    <v>536870912</v>
    <v>Adjara</v>
    <v>0f3c77ac-b855-2bbf-cabd-becc162de66e</v>
    <v>en-US</v>
    <v>Map</v>
  </rv>
  <rv s="0">
    <v>536870912</v>
    <v>Guria</v>
    <v>985f9020-74ac-338a-790d-45e460a15cb6</v>
    <v>en-US</v>
    <v>Map</v>
  </rv>
  <rv s="0">
    <v>536870912</v>
    <v>Mtskheta-Mtianeti</v>
    <v>cc9fefb9-3949-2811-290b-ce0947330ff8</v>
    <v>en-US</v>
    <v>Map</v>
  </rv>
  <rv s="0">
    <v>536870912</v>
    <v>Racha-Lechkhumi and Kvemo Svaneti</v>
    <v>aee8a977-0832-715b-2b13-982ae47620d4</v>
    <v>en-US</v>
    <v>Map</v>
  </rv>
  <rv s="3">
    <v>22</v>
  </rv>
  <rv s="1">
    <fb>0.21739978564734097</fb>
    <v>25</v>
  </rv>
  <rv s="3">
    <v>23</v>
  </rv>
  <rv s="1">
    <fb>9.9000000000000005E-2</fb>
    <v>25</v>
  </rv>
  <rv s="1">
    <fb>0.143979997634888</fb>
    <v>33</v>
  </rv>
  <rv s="1">
    <fb>2196476</fb>
    <v>26</v>
  </rv>
  <rv s="6">
    <v>#VALUE!</v>
    <v>en-US</v>
    <v>4fe7777a-3d26-0e6a-243d-ae6d45c843c6</v>
    <v>536870912</v>
    <v>1</v>
    <v>63</v>
    <v>51</v>
    <v>Georgia</v>
    <v>21</v>
    <v>22</v>
    <v>Map</v>
    <v>23</v>
    <v>64</v>
    <v>GE</v>
    <v>486</v>
    <v>487</v>
    <v>488</v>
    <v>489</v>
    <v>490</v>
    <v>491</v>
    <v>492</v>
    <v>493</v>
    <v>494</v>
    <v>GEL</v>
    <v>Georgia is a country located in Eastern Europe and West Asia, and is culturally and geopolitically considered to be European. It is part of the Caucasus region, bounded by the Black Sea to the west, Russia to the north and northeast, Turkey to the southwest, Armenia to the south, and by Azerbaijan to the southeast. The country covers an area of 69,700 square kilometres, and has a population of 3.7 million people. Tbilisi is its capital and largest city, home to roughly a third of the Georgian population.</v>
    <v>495</v>
    <v>496</v>
    <v>497</v>
    <v>498</v>
    <v>499</v>
    <v>500</v>
    <v>501</v>
    <v>502</v>
    <v>503</v>
    <v>504</v>
    <v>491</v>
    <v>507</v>
    <v>508</v>
    <v>509</v>
    <v>510</v>
    <v>511</v>
    <v>Georgia</v>
    <v>Tavisupleba</v>
    <v>512</v>
    <v>საქართველო</v>
    <v>513</v>
    <v>514</v>
    <v>515</v>
    <v>516</v>
    <v>517</v>
    <v>518</v>
    <v>519</v>
    <v>520</v>
    <v>521</v>
    <v>522</v>
    <v>523</v>
    <v>534</v>
    <v>535</v>
    <v>536</v>
    <v>537</v>
    <v>538</v>
    <v>Georgia</v>
    <v>539</v>
    <v>mdp/vdpid/88</v>
  </rv>
  <rv s="0">
    <v>536870912</v>
    <v>Jordan</v>
    <v>111b516f-9a1d-0733-ed2d-cb194484fa44</v>
    <v>en-US</v>
    <v>Map</v>
  </rv>
  <rv s="1">
    <fb>0.120067578388995</fb>
    <v>25</v>
  </rv>
  <rv s="1">
    <fb>89341</fb>
    <v>26</v>
  </rv>
  <rv s="1">
    <fb>116000</fb>
    <v>26</v>
  </rv>
  <rv s="1">
    <fb>21.978999999999999</fb>
    <v>27</v>
  </rv>
  <rv s="1">
    <fb>962</fb>
    <v>28</v>
  </rv>
  <rv s="0">
    <v>536870912</v>
    <v>Amman</v>
    <v>05e784b3-b37b-bbfa-61a2-51fd431de2b9</v>
    <v>en-US</v>
    <v>Map</v>
  </rv>
  <rv s="1">
    <fb>25107.949000000001</fb>
    <v>26</v>
  </rv>
  <rv s="1">
    <fb>125.604002606804</fb>
    <v>29</v>
  </rv>
  <rv s="1">
    <fb>7.6151404726551297E-3</fb>
    <v>25</v>
  </rv>
  <rv s="1">
    <fb>1864.67585548017</fb>
    <v>26</v>
  </rv>
  <rv s="1">
    <fb>2.7610000000000001</fb>
    <v>27</v>
  </rv>
  <rv s="1">
    <fb>1.09822031989187E-2</fb>
    <v>25</v>
  </rv>
  <rv s="1">
    <fb>97.608446650523305</fb>
    <v>30</v>
  </rv>
  <rv s="1">
    <fb>1.1000000000000001</fb>
    <v>31</v>
  </rv>
  <rv s="1">
    <fb>43743661971.831001</fb>
    <v>32</v>
  </rv>
  <rv s="1">
    <fb>0.81458900000000001</fb>
    <v>25</v>
  </rv>
  <rv s="1">
    <fb>0.34415319999999999</fb>
    <v>25</v>
  </rv>
  <rv s="2">
    <v>6</v>
    <v>23</v>
    <v>66</v>
    <v>7</v>
    <v>0</v>
    <v>Image of Jordan</v>
  </rv>
  <rv s="1">
    <fb>13.9</fb>
    <v>30</v>
  </rv>
  <rv s="0">
    <v>805306368</v>
    <v>Abdullah II of Jordan (Monarch)</v>
    <v>08352409-46f2-f145-9cc9-f6ff3033fa78</v>
    <v>en-US</v>
    <v>Generic</v>
  </rv>
  <rv s="0">
    <v>805306368</v>
    <v>Bisher Khasawneh (Prime minister)</v>
    <v>ebfa205b-f82d-aa82-1454-991f860c463a</v>
    <v>en-US</v>
    <v>Generic</v>
  </rv>
  <rv s="3">
    <v>24</v>
  </rv>
  <rv s="4">
    <v>https://www.bing.com/search?q=jordan+country&amp;form=skydnc</v>
    <v>Learn more on Bing</v>
  </rv>
  <rv s="1">
    <fb>74.405000000000001</fb>
    <v>30</v>
  </rv>
  <rv s="1">
    <fb>21036390000</fb>
    <v>32</v>
  </rv>
  <rv s="1">
    <fb>46</fb>
    <v>30</v>
  </rv>
  <rv s="1">
    <fb>1.49</fb>
    <v>31</v>
  </rv>
  <rv s="3">
    <v>25</v>
  </rv>
  <rv s="1">
    <fb>0.25149342889999998</fb>
    <v>25</v>
  </rv>
  <rv s="1">
    <fb>2.3237000000000001</fb>
    <v>27</v>
  </rv>
  <rv s="1">
    <fb>11148278</fb>
    <v>26</v>
  </rv>
  <rv s="1">
    <fb>0.215</fb>
    <v>25</v>
  </rv>
  <rv s="1">
    <fb>0.42399999999999999</fb>
    <v>25</v>
  </rv>
  <rv s="1">
    <fb>3.5000000000000003E-2</fb>
    <v>25</v>
  </rv>
  <rv s="1">
    <fb>8.199999999999999E-2</fb>
    <v>25</v>
  </rv>
  <rv s="1">
    <fb>0.121</fb>
    <v>25</v>
  </rv>
  <rv s="1">
    <fb>0.158</fb>
    <v>25</v>
  </rv>
  <rv s="1">
    <fb>0.39305000305175802</fb>
    <v>25</v>
  </rv>
  <rv s="0">
    <v>536870912</v>
    <v>Ajloun Governorate</v>
    <v>80aa29e0-a467-2645-06bb-30b680e66a6a</v>
    <v>en-US</v>
    <v>Map</v>
  </rv>
  <rv s="0">
    <v>536870912</v>
    <v>Amman Governorate</v>
    <v>316ce6a3-9974-fe7d-c3ea-cbab3a103f87</v>
    <v>en-US</v>
    <v>Map</v>
  </rv>
  <rv s="0">
    <v>536870912</v>
    <v>Aqaba Governorate</v>
    <v>cfc71b48-beb2-d58b-3741-0902cab49a9b</v>
    <v>en-US</v>
    <v>Map</v>
  </rv>
  <rv s="0">
    <v>536870912</v>
    <v>Balqa Governorate</v>
    <v>77da87d8-9e91-1a7b-7985-fa13cd1a5016</v>
    <v>en-US</v>
    <v>Map</v>
  </rv>
  <rv s="0">
    <v>536870912</v>
    <v>Irbid Governorate</v>
    <v>443bda08-543e-7676-e8a0-49a119dc4edd</v>
    <v>en-US</v>
    <v>Map</v>
  </rv>
  <rv s="0">
    <v>536870912</v>
    <v>Jerash Governorate</v>
    <v>8946c6bd-34ea-4f44-7634-39fd4744719d</v>
    <v>en-US</v>
    <v>Map</v>
  </rv>
  <rv s="0">
    <v>536870912</v>
    <v>Karak Governorate</v>
    <v>c9560074-620a-5bb7-6588-1f9b2354692e</v>
    <v>en-US</v>
    <v>Map</v>
  </rv>
  <rv s="0">
    <v>536870912</v>
    <v>Ma'an Governorate</v>
    <v>5b78b9c7-3924-d034-8b7f-ce578636d44a</v>
    <v>en-US</v>
    <v>Map</v>
  </rv>
  <rv s="0">
    <v>536870912</v>
    <v>Madaba Governorate</v>
    <v>1571af9a-c3c5-829f-3234-209fa1eecd52</v>
    <v>en-US</v>
    <v>Map</v>
  </rv>
  <rv s="0">
    <v>536870912</v>
    <v>Mafraq Governorate</v>
    <v>da0f3d2e-6311-b96f-091f-8a4643549026</v>
    <v>en-US</v>
    <v>Map</v>
  </rv>
  <rv s="0">
    <v>536870912</v>
    <v>Tafilah Governorate</v>
    <v>c3e27c26-b0ca-d509-af99-caba76ee09bd</v>
    <v>en-US</v>
    <v>Map</v>
  </rv>
  <rv s="0">
    <v>536870912</v>
    <v>Zarqa Governorate</v>
    <v>e4bc1864-3f32-f31a-886a-4996d6cf3d05</v>
    <v>en-US</v>
    <v>Map</v>
  </rv>
  <rv s="3">
    <v>26</v>
  </rv>
  <rv s="1">
    <fb>0.15126289761747999</fb>
    <v>25</v>
  </rv>
  <rv s="3">
    <v>27</v>
  </rv>
  <rv s="1">
    <fb>0.28600000000000003</fb>
    <v>25</v>
  </rv>
  <rv s="1">
    <fb>0.14715000152587898</fb>
    <v>33</v>
  </rv>
  <rv s="1">
    <fb>9213048</fb>
    <v>26</v>
  </rv>
  <rv s="5">
    <v>#VALUE!</v>
    <v>en-US</v>
    <v>111b516f-9a1d-0733-ed2d-cb194484fa44</v>
    <v>536870912</v>
    <v>1</v>
    <v>69</v>
    <v>18</v>
    <v>Jordan</v>
    <v>21</v>
    <v>22</v>
    <v>Map</v>
    <v>23</v>
    <v>70</v>
    <v>JO</v>
    <v>542</v>
    <v>543</v>
    <v>544</v>
    <v>545</v>
    <v>546</v>
    <v>547</v>
    <v>548</v>
    <v>549</v>
    <v>550</v>
    <v>JOD</v>
    <v>Jordan, officially the Hashemite Kingdom of Jordan, is a country in West Asia. It is situated at the crossroads of Asia, Africa, and Europe, within the Levant region, on the East Bank of the Jordan River. Jordan is bordered by Saudi Arabia to the south and east, Iraq to the northeast, Syria to the north, and the Palestinian West Bank and Israel to the west. The Dead Sea is located along its western border and the country has a 26 km coastline in its southwest on the Gulf of Aqaba's Red Sea, which separates Jordan from Egypt. Amman is Jordan's capital and largest city, as well as its economic, political, and cultural centre.</v>
    <v>551</v>
    <v>552</v>
    <v>553</v>
    <v>554</v>
    <v>555</v>
    <v>556</v>
    <v>557</v>
    <v>558</v>
    <v>559</v>
    <v>560</v>
    <v>547</v>
    <v>563</v>
    <v>564</v>
    <v>565</v>
    <v>566</v>
    <v>567</v>
    <v>568</v>
    <v>Jordan</v>
    <v>The Royal Anthem of Jordan</v>
    <v>569</v>
    <v>le Royaume hachémite de Jordanie</v>
    <v>570</v>
    <v>571</v>
    <v>572</v>
    <v>573</v>
    <v>517</v>
    <v>574</v>
    <v>575</v>
    <v>576</v>
    <v>577</v>
    <v>578</v>
    <v>579</v>
    <v>592</v>
    <v>593</v>
    <v>594</v>
    <v>595</v>
    <v>596</v>
    <v>Jordan</v>
    <v>597</v>
    <v>mdp/vdpid/126</v>
  </rv>
  <rv s="0">
    <v>536870912</v>
    <v>China</v>
    <v>5fcc3d97-0cf2-94e5-6dad-cd70e387bd69</v>
    <v>en-US</v>
    <v>Map</v>
  </rv>
  <rv s="1">
    <fb>0.56212313103349798</fb>
    <v>25</v>
  </rv>
  <rv s="1">
    <fb>9596961</fb>
    <v>26</v>
  </rv>
  <rv s="1">
    <fb>2695000</fb>
    <v>26</v>
  </rv>
  <rv s="1">
    <fb>10.9</fb>
    <v>27</v>
  </rv>
  <rv s="1">
    <fb>86</fb>
    <v>28</v>
  </rv>
  <rv s="0">
    <v>536870912</v>
    <v>Beijing</v>
    <v>e43bc499-902a-5deb-aced-aa4a247e6822</v>
    <v>en-US</v>
    <v>Map</v>
  </rv>
  <rv s="1">
    <fb>9893037.9519999996</fb>
    <v>26</v>
  </rv>
  <rv s="1">
    <fb>125.083155733959</fb>
    <v>29</v>
  </rv>
  <rv s="1">
    <fb>2.8992357992594101E-2</fb>
    <v>25</v>
  </rv>
  <rv s="1">
    <fb>3927.0444999890101</fb>
    <v>26</v>
  </rv>
  <rv s="1">
    <fb>1.69</fb>
    <v>27</v>
  </rv>
  <rv s="1">
    <fb>0.22353941805732902</fb>
    <v>25</v>
  </rv>
  <rv s="1">
    <fb>87.670430768185398</fb>
    <v>30</v>
  </rv>
  <rv s="1">
    <fb>0.96</fb>
    <v>31</v>
  </rv>
  <rv s="1">
    <fb>19910000000000</fb>
    <v>32</v>
  </rv>
  <rv s="1">
    <fb>1.0022275</fb>
    <v>25</v>
  </rv>
  <rv s="1">
    <fb>0.50604439999999995</fb>
    <v>25</v>
  </rv>
  <rv s="2">
    <v>7</v>
    <v>23</v>
    <v>72</v>
    <v>7</v>
    <v>0</v>
    <v>Image of China</v>
  </rv>
  <rv s="1">
    <fb>7.4</fb>
    <v>30</v>
  </rv>
  <rv s="0">
    <v>536870912</v>
    <v>Shanghai</v>
    <v>29ece984-463e-6074-60e1-83f8c012ef70</v>
    <v>en-US</v>
    <v>Map</v>
  </rv>
  <rv s="0">
    <v>805306368</v>
    <v>Xi Jinping (President)</v>
    <v>cd954b68-481c-b388-8b3d-6c0081dc9adf</v>
    <v>en-US</v>
    <v>Generic</v>
  </rv>
  <rv s="0">
    <v>805306368</v>
    <v>Li Qiang (Premier)</v>
    <v>f0d727f0-3735-908f-e9a5-a6e2264d2e8e</v>
    <v>en-US</v>
    <v>Generic</v>
  </rv>
  <rv s="3">
    <v>28</v>
  </rv>
  <rv s="4">
    <v>https://www.bing.com/search?q=china&amp;form=skydnc</v>
    <v>Learn more on Bing</v>
  </rv>
  <rv s="1">
    <fb>76.959999999999994</fb>
    <v>30</v>
  </rv>
  <rv s="1">
    <fb>8515504380000</fb>
    <v>32</v>
  </rv>
  <rv s="1">
    <fb>29</fb>
    <v>30</v>
  </rv>
  <rv s="1">
    <fb>0.87</fb>
    <v>31</v>
  </rv>
  <rv s="3">
    <v>29</v>
  </rv>
  <rv s="1">
    <fb>0.32386296240000001</fb>
    <v>25</v>
  </rv>
  <rv s="1">
    <fb>1.9798</fb>
    <v>27</v>
  </rv>
  <rv s="1">
    <fb>1412360000</fb>
    <v>26</v>
  </rv>
  <rv s="1">
    <fb>0.29299999999999998</fb>
    <v>25</v>
  </rv>
  <rv s="1">
    <fb>0.45299999999999996</fb>
    <v>25</v>
  </rv>
  <rv s="1">
    <fb>2.7000000000000003E-2</fb>
    <v>25</v>
  </rv>
  <rv s="1">
    <fb>0.107</fb>
    <v>25</v>
  </rv>
  <rv s="1">
    <fb>0.153</fb>
    <v>25</v>
  </rv>
  <rv s="1">
    <fb>0.67986999511718804</fb>
    <v>25</v>
  </rv>
  <rv s="0">
    <v>536870912</v>
    <v>Tianjin</v>
    <v>45fdbb85-8f7d-7f8b-dc59-7cb26189ef7d</v>
    <v>en-US</v>
    <v>Map</v>
  </rv>
  <rv s="0">
    <v>536870912</v>
    <v>Hebei</v>
    <v>268021ac-4731-f143-328a-f385a6b2f343</v>
    <v>en-US</v>
    <v>Map</v>
  </rv>
  <rv s="0">
    <v>536870912</v>
    <v>Shanxi</v>
    <v>075dd860-13e3-fb9e-dab0-6f2a22a59c5d</v>
    <v>en-US</v>
    <v>Map</v>
  </rv>
  <rv s="0">
    <v>536870912</v>
    <v>Inner Mongolia</v>
    <v>2c74fdb2-19bf-0f2d-f20d-13b21d6103e6</v>
    <v>en-US</v>
    <v>Map</v>
  </rv>
  <rv s="0">
    <v>536870912</v>
    <v>Liaoning</v>
    <v>50b9b45b-7555-8f4e-500a-81f90d66f392</v>
    <v>en-US</v>
    <v>Map</v>
  </rv>
  <rv s="0">
    <v>536870912</v>
    <v>Jilin</v>
    <v>20bba38c-89a4-7448-c64a-9ec85a4ba341</v>
    <v>en-US</v>
    <v>Map</v>
  </rv>
  <rv s="0">
    <v>536870912</v>
    <v>Heilongjiang</v>
    <v>a7c2e681-f80e-cae6-2ae7-fccb47f12008</v>
    <v>en-US</v>
    <v>Map</v>
  </rv>
  <rv s="0">
    <v>536870912</v>
    <v>Jiangsu</v>
    <v>c979b1db-2e4e-7b88-511f-1cd5a525053c</v>
    <v>en-US</v>
    <v>Map</v>
  </rv>
  <rv s="0">
    <v>536870912</v>
    <v>Zhejiang</v>
    <v>5464490d-3361-4945-967e-d8879b9c8415</v>
    <v>en-US</v>
    <v>Map</v>
  </rv>
  <rv s="0">
    <v>536870912</v>
    <v>Anhui</v>
    <v>7a26b7d2-0ec9-86cd-351a-a9f347c4b9cd</v>
    <v>en-US</v>
    <v>Map</v>
  </rv>
  <rv s="0">
    <v>536870912</v>
    <v>Fujian</v>
    <v>f7e228b4-20f3-6c06-f9d2-0e381cb472db</v>
    <v>en-US</v>
    <v>Map</v>
  </rv>
  <rv s="0">
    <v>536870912</v>
    <v>Jiangxi</v>
    <v>60bbd587-912f-cf97-4a3b-4e9236f59153</v>
    <v>en-US</v>
    <v>Map</v>
  </rv>
  <rv s="0">
    <v>536870912</v>
    <v>Shandong</v>
    <v>311c787d-5f0d-3960-4647-a0b3ee6bb863</v>
    <v>en-US</v>
    <v>Map</v>
  </rv>
  <rv s="0">
    <v>536870912</v>
    <v>Henan</v>
    <v>e1b3708c-e5d8-671a-5b9c-e74cf7d11971</v>
    <v>en-US</v>
    <v>Map</v>
  </rv>
  <rv s="0">
    <v>536870912</v>
    <v>Hubei</v>
    <v>03c5c53c-6c11-7737-b58a-31b9b73bce20</v>
    <v>en-US</v>
    <v>Map</v>
  </rv>
  <rv s="0">
    <v>536870912</v>
    <v>Hunan</v>
    <v>84852e67-826c-7232-5aec-3bd5a776c21b</v>
    <v>en-US</v>
    <v>Map</v>
  </rv>
  <rv s="0">
    <v>536870912</v>
    <v>Guangdong</v>
    <v>533d187e-5296-4200-eed8-55f3257c948f</v>
    <v>en-US</v>
    <v>Map</v>
  </rv>
  <rv s="0">
    <v>536870912</v>
    <v>Guangxi</v>
    <v>b2e2f034-494c-f814-7555-fa5d56071d6f</v>
    <v>en-US</v>
    <v>Map</v>
  </rv>
  <rv s="0">
    <v>536870912</v>
    <v>Hainan</v>
    <v>85cb11dd-f8f0-f5e0-35d3-42ce64c34e9e</v>
    <v>en-US</v>
    <v>Map</v>
  </rv>
  <rv s="0">
    <v>536870912</v>
    <v>Chongqing</v>
    <v>69bf0da4-4c0f-d795-e3d4-f2087fc9101e</v>
    <v>en-US</v>
    <v>Map</v>
  </rv>
  <rv s="0">
    <v>536870912</v>
    <v>Sichuan</v>
    <v>49bf1471-e0d6-011f-bb5b-edd67fea0a6f</v>
    <v>en-US</v>
    <v>Map</v>
  </rv>
  <rv s="0">
    <v>536870912</v>
    <v>Guizhou</v>
    <v>3025ec8b-299d-6131-4293-401f8dd1701e</v>
    <v>en-US</v>
    <v>Map</v>
  </rv>
  <rv s="0">
    <v>536870912</v>
    <v>Yunnan</v>
    <v>62345ab8-b0e6-d4c5-87b4-0e7a5b39c7dc</v>
    <v>en-US</v>
    <v>Map</v>
  </rv>
  <rv s="0">
    <v>536870912</v>
    <v>Hong Kong</v>
    <v>304df1d5-38ee-e835-eb2a-554caba5c30e</v>
    <v>en-US</v>
    <v>Map</v>
  </rv>
  <rv s="0">
    <v>536870912</v>
    <v>Tibet Autonomous Region</v>
    <v>47172d29-ddc9-3139-5851-4a08c8219822</v>
    <v>en-US</v>
    <v>Map</v>
  </rv>
  <rv s="0">
    <v>536870912</v>
    <v>Shaanxi</v>
    <v>2c52cd90-c486-5a30-6fdf-b777d9331efd</v>
    <v>en-US</v>
    <v>Map</v>
  </rv>
  <rv s="0">
    <v>536870912</v>
    <v>Gansu</v>
    <v>2bf7e5b1-3ba4-5943-77aa-7ac1cb9a0535</v>
    <v>en-US</v>
    <v>Map</v>
  </rv>
  <rv s="0">
    <v>536870912</v>
    <v>Qinghai</v>
    <v>c8ddeac2-af7f-8ee9-dbac-33f9f697d88c</v>
    <v>en-US</v>
    <v>Map</v>
  </rv>
  <rv s="0">
    <v>536870912</v>
    <v>Ningxia</v>
    <v>b9d307c1-70f4-a27f-6800-d624b3030236</v>
    <v>en-US</v>
    <v>Map</v>
  </rv>
  <rv s="0">
    <v>536870912</v>
    <v>Xinjiang</v>
    <v>8e7874f1-5a52-a168-5737-ced81488dfca</v>
    <v>en-US</v>
    <v>Map</v>
  </rv>
  <rv s="0">
    <v>536870912</v>
    <v>Macau</v>
    <v>d7203e23-120a-c7fd-485a-3fbcf88a3288</v>
    <v>en-US</v>
    <v>Map</v>
  </rv>
  <rv s="3">
    <v>30</v>
  </rv>
  <rv s="1">
    <fb>9.4193182022714303E-2</fb>
    <v>25</v>
  </rv>
  <rv s="3">
    <v>31</v>
  </rv>
  <rv s="1">
    <fb>0.59200000000000008</fb>
    <v>25</v>
  </rv>
  <rv s="1">
    <fb>4.3200001716613798E-2</fb>
    <v>33</v>
  </rv>
  <rv s="1">
    <fb>842933962</fb>
    <v>26</v>
  </rv>
  <rv s="5">
    <v>#VALUE!</v>
    <v>en-US</v>
    <v>5fcc3d97-0cf2-94e5-6dad-cd70e387bd69</v>
    <v>536870912</v>
    <v>1</v>
    <v>76</v>
    <v>18</v>
    <v>China</v>
    <v>21</v>
    <v>22</v>
    <v>Map</v>
    <v>23</v>
    <v>77</v>
    <v>CN</v>
    <v>600</v>
    <v>601</v>
    <v>602</v>
    <v>603</v>
    <v>604</v>
    <v>605</v>
    <v>606</v>
    <v>607</v>
    <v>608</v>
    <v>CNY</v>
    <v>China, officially the People's Republic of China, is a country in East Asia. It is the world's second-most populous country with a population exceeding 1.4 billion. China spans the equivalent of five time zones and borders fourteen countries by land, tied with Russia as having the most of any country in the world. With an area of nearly 9.6 million square kilometres, it is the world's third largest country by total land area. The country consists of 22 provinces, five autonomous regions, four municipalities, and two semi-autonomous special administrative regions. The national capital is Beijing, and the most populous city and largest financial center is Shanghai.</v>
    <v>609</v>
    <v>610</v>
    <v>611</v>
    <v>612</v>
    <v>613</v>
    <v>614</v>
    <v>615</v>
    <v>616</v>
    <v>617</v>
    <v>618</v>
    <v>619</v>
    <v>622</v>
    <v>623</v>
    <v>624</v>
    <v>625</v>
    <v>626</v>
    <v>627</v>
    <v>China</v>
    <v>March of the Volunteers</v>
    <v>628</v>
    <v>中华人民共和国</v>
    <v>629</v>
    <v>630</v>
    <v>631</v>
    <v>396</v>
    <v>632</v>
    <v>633</v>
    <v>634</v>
    <v>520</v>
    <v>635</v>
    <v>636</v>
    <v>637</v>
    <v>669</v>
    <v>670</v>
    <v>671</v>
    <v>672</v>
    <v>673</v>
    <v>China</v>
    <v>674</v>
    <v>mdp/vdpid/45</v>
  </rv>
  <rv s="0">
    <v>536870912</v>
    <v>United Arab Emirates</v>
    <v>254a2621-4625-0f85-0b9d-13e4e75e5c9b</v>
    <v>en-US</v>
    <v>Map</v>
  </rv>
  <rv s="1">
    <fb>5.4745140494645003E-2</fb>
    <v>25</v>
  </rv>
  <rv s="1">
    <fb>83600</fb>
    <v>26</v>
  </rv>
  <rv s="1">
    <fb>63000</fb>
    <v>26</v>
  </rv>
  <rv s="1">
    <fb>10.331</fb>
    <v>27</v>
  </rv>
  <rv s="1">
    <fb>971</fb>
    <v>28</v>
  </rv>
  <rv s="0">
    <v>536870912</v>
    <v>Abu Dhabi</v>
    <v>5c13f73c-6c26-b05a-8294-4e5d670b582c</v>
    <v>en-US</v>
    <v>Map</v>
  </rv>
  <rv s="1">
    <fb>206323.755</fb>
    <v>26</v>
  </rv>
  <rv s="1">
    <fb>114.52466053234301</fb>
    <v>29</v>
  </rv>
  <rv s="1">
    <fb>-1.9310811478217102E-2</fb>
    <v>25</v>
  </rv>
  <rv s="1">
    <fb>11088.3502863794</fb>
    <v>26</v>
  </rv>
  <rv s="1">
    <fb>1.413</fb>
    <v>27</v>
  </rv>
  <rv s="1">
    <fb>4.5573078521840199E-2</fb>
    <v>25</v>
  </rv>
  <rv s="1">
    <fb>86.1283490244126</fb>
    <v>30</v>
  </rv>
  <rv s="1">
    <fb>0.49</fb>
    <v>31</v>
  </rv>
  <rv s="1">
    <fb>421142267937.65002</fb>
    <v>32</v>
  </rv>
  <rv s="1">
    <fb>1.0839706</fb>
    <v>25</v>
  </rv>
  <rv s="1">
    <fb>0.36847080230712898</fb>
    <v>25</v>
  </rv>
  <rv s="2">
    <v>8</v>
    <v>23</v>
    <v>79</v>
    <v>7</v>
    <v>0</v>
    <v>Image of United Arab Emirates</v>
  </rv>
  <rv s="1">
    <fb>6.5</fb>
    <v>30</v>
  </rv>
  <rv s="0">
    <v>536870912</v>
    <v>Dubai</v>
    <v>be495e21-8e36-a64d-d87a-350ba05996eb</v>
    <v>en-US</v>
    <v>Map</v>
  </rv>
  <rv s="0">
    <v>805306368</v>
    <v>Mohamed bin Zayed Al Nahyan (President)</v>
    <v>f9a564f5-d322-fa19-3bc8-73e961373e10</v>
    <v>en-US</v>
    <v>Generic</v>
  </rv>
  <rv s="0">
    <v>805306368</v>
    <v>Mohammed bin Rashid Al Maktoum (Prime minister)</v>
    <v>699a9d4c-17ad-a2e7-0654-51e1cf321b41</v>
    <v>en-US</v>
    <v>Generic</v>
  </rv>
  <rv s="3">
    <v>32</v>
  </rv>
  <rv s="4">
    <v>https://www.bing.com/search?q=united+arab+emirates&amp;form=skydnc</v>
    <v>Learn more on Bing</v>
  </rv>
  <rv s="1">
    <fb>77.813999999999993</fb>
    <v>30</v>
  </rv>
  <rv s="1">
    <fb>247209143274.88101</fb>
    <v>32</v>
  </rv>
  <rv s="1">
    <fb>3</fb>
    <v>30</v>
  </rv>
  <rv s="1">
    <fb>0.1778964985</fb>
    <v>25</v>
  </rv>
  <rv s="1">
    <fb>2.5278</fb>
    <v>27</v>
  </rv>
  <rv s="1">
    <fb>9890400</fb>
    <v>26</v>
  </rv>
  <rv s="1">
    <fb>0.255</fb>
    <v>25</v>
  </rv>
  <rv s="1">
    <fb>0.38200000000000001</fb>
    <v>25</v>
  </rv>
  <rv s="1">
    <fb>2.3E-2</fb>
    <v>25</v>
  </rv>
  <rv s="1">
    <fb>6.2E-2</fb>
    <v>25</v>
  </rv>
  <rv s="1">
    <fb>0.12</fb>
    <v>25</v>
  </rv>
  <rv s="1">
    <fb>0.18</fb>
    <v>25</v>
  </rv>
  <rv s="1">
    <fb>0.82094001770019498</fb>
    <v>25</v>
  </rv>
  <rv s="0">
    <v>536870912</v>
    <v>Emirate of Abu Dhabi</v>
    <v>64d30bb6-7457-2a4b-5a2a-ef4f432d2eb6</v>
    <v>en-US</v>
    <v>Map</v>
  </rv>
  <rv s="0">
    <v>536870912</v>
    <v>Emirate of Sharjah</v>
    <v>d4a83efb-738c-4204-0d9b-311bba6e7d55</v>
    <v>en-US</v>
    <v>Map</v>
  </rv>
  <rv s="0">
    <v>536870912</v>
    <v>Emirate of Ajman</v>
    <v>e99dee76-8670-41c5-83d6-9915d5d5da4e</v>
    <v>en-US</v>
    <v>Map</v>
  </rv>
  <rv s="0">
    <v>536870912</v>
    <v>Emirate of Ras Al Khaimah</v>
    <v>2290fba6-b72e-3389-2cb6-7a529757db04</v>
    <v>en-US</v>
    <v>Map</v>
  </rv>
  <rv s="0">
    <v>536870912</v>
    <v>Emirate of Fujairah</v>
    <v>4afc1d56-0440-fff3-812e-07b2c32fa703</v>
    <v>en-US</v>
    <v>Map</v>
  </rv>
  <rv s="3">
    <v>33</v>
  </rv>
  <rv s="1">
    <fb>5.9310281329913201E-4</fb>
    <v>25</v>
  </rv>
  <rv s="3">
    <v>34</v>
  </rv>
  <rv s="1">
    <fb>0.159</fb>
    <v>25</v>
  </rv>
  <rv s="1">
    <fb>2.3480000495910602E-2</fb>
    <v>33</v>
  </rv>
  <rv s="1">
    <fb>8479744</fb>
    <v>26</v>
  </rv>
  <rv s="7">
    <v>#VALUE!</v>
    <v>en-US</v>
    <v>254a2621-4625-0f85-0b9d-13e4e75e5c9b</v>
    <v>536870912</v>
    <v>1</v>
    <v>82</v>
    <v>83</v>
    <v>United Arab Emirates</v>
    <v>21</v>
    <v>22</v>
    <v>Map</v>
    <v>23</v>
    <v>84</v>
    <v>AE</v>
    <v>677</v>
    <v>678</v>
    <v>679</v>
    <v>680</v>
    <v>681</v>
    <v>682</v>
    <v>683</v>
    <v>684</v>
    <v>685</v>
    <v>AED</v>
    <v>The United Arab Emirates, or simply the Emirates, is a country in West Asia, in the Middle East. It is located at the eastern end of the Arabian Peninsula and shares borders with Oman and Saudi Arabia, while also having maritime borders in the Persian Gulf with Qatar and Iran. Abu Dhabi is the nation's capital, while Dubai, the most populous city, is an international hub.</v>
    <v>686</v>
    <v>687</v>
    <v>688</v>
    <v>689</v>
    <v>690</v>
    <v>691</v>
    <v>692</v>
    <v>693</v>
    <v>694</v>
    <v>695</v>
    <v>696</v>
    <v>699</v>
    <v>700</v>
    <v>701</v>
    <v>702</v>
    <v>703</v>
    <v>United Arab Emirates</v>
    <v>Ishy Bilady</v>
    <v>569</v>
    <v>les Émirats arabes unis</v>
    <v>704</v>
    <v>705</v>
    <v>706</v>
    <v>707</v>
    <v>206</v>
    <v>708</v>
    <v>709</v>
    <v>710</v>
    <v>711</v>
    <v>712</v>
    <v>713</v>
    <v>719</v>
    <v>720</v>
    <v>721</v>
    <v>722</v>
    <v>723</v>
    <v>United Arab Emirates</v>
    <v>724</v>
    <v>mdp/vdpid/224</v>
  </rv>
  <rv s="0">
    <v>536870912</v>
    <v>Vietnam</v>
    <v>9eb3adfc-79da-211b-6de2-580a522f56a5</v>
    <v>en-US</v>
    <v>Map</v>
  </rv>
  <rv s="1">
    <fb>0.39275002418808697</fb>
    <v>25</v>
  </rv>
  <rv s="1">
    <fb>331690</fb>
    <v>26</v>
  </rv>
  <rv s="1">
    <fb>522000</fb>
    <v>26</v>
  </rv>
  <rv s="1">
    <fb>16.745000000000001</fb>
    <v>27</v>
  </rv>
  <rv s="1">
    <fb>84</fb>
    <v>28</v>
  </rv>
  <rv s="0">
    <v>536870912</v>
    <v>Hanoi</v>
    <v>0ac97487-debb-537a-b806-132c4e5513e6</v>
    <v>en-US</v>
    <v>Map</v>
  </rv>
  <rv s="1">
    <fb>192667.84700000001</fb>
    <v>26</v>
  </rv>
  <rv s="1">
    <fb>163.516947912918</fb>
    <v>29</v>
  </rv>
  <rv s="1">
    <fb>2.7958236745224602E-2</fb>
    <v>25</v>
  </rv>
  <rv s="1">
    <fb>1423.68834535005</fb>
    <v>26</v>
  </rv>
  <rv s="1">
    <fb>2.0489999999999999</fb>
    <v>27</v>
  </rv>
  <rv s="1">
    <fb>0.48060115457799901</fb>
    <v>25</v>
  </rv>
  <rv s="1">
    <fb>69.821836554711396</fb>
    <v>30</v>
  </rv>
  <rv s="1">
    <fb>0.8</fb>
    <v>31</v>
  </rv>
  <rv s="1">
    <fb>261921244843.172</fb>
    <v>32</v>
  </rv>
  <rv s="1">
    <fb>1.1059481</fb>
    <v>25</v>
  </rv>
  <rv s="1">
    <fb>0.28544969999999997</fb>
    <v>25</v>
  </rv>
  <rv s="2">
    <v>9</v>
    <v>23</v>
    <v>86</v>
    <v>7</v>
    <v>0</v>
    <v>Image of Vietnam</v>
  </rv>
  <rv s="1">
    <fb>16.5</fb>
    <v>30</v>
  </rv>
  <rv s="0">
    <v>536870912</v>
    <v>Ho Chi Minh City</v>
    <v>56b344bd-92d9-cb0b-00c2-5408a7bf99cf</v>
    <v>en-US</v>
    <v>Map</v>
  </rv>
  <rv s="0">
    <v>805306368</v>
    <v>Võ Văn Thưởng (President)</v>
    <v>1846d2ec-98fe-7dce-c0b2-1c443788de96</v>
    <v>en-US</v>
    <v>Generic</v>
  </rv>
  <rv s="0">
    <v>805306368</v>
    <v>Phạm Minh Chính (Prime minister)</v>
    <v>a0729853-39d1-be4b-d795-e2b316447d77</v>
    <v>en-US</v>
    <v>Generic</v>
  </rv>
  <rv s="3">
    <v>35</v>
  </rv>
  <rv s="4">
    <v>https://www.bing.com/search?q=vietnam&amp;form=skydnc</v>
    <v>Learn more on Bing</v>
  </rv>
  <rv s="1">
    <fb>75.316999999999993</fb>
    <v>30</v>
  </rv>
  <rv s="1">
    <fb>149817280000</fb>
    <v>32</v>
  </rv>
  <rv s="1">
    <fb>43</fb>
    <v>30</v>
  </rv>
  <rv s="1">
    <fb>0.73</fb>
    <v>31</v>
  </rv>
  <rv s="3">
    <v>36</v>
  </rv>
  <rv s="1">
    <fb>0.43479386130000003</fb>
    <v>25</v>
  </rv>
  <rv s="1">
    <fb>0.81989999999999996</fb>
    <v>27</v>
  </rv>
  <rv s="1">
    <fb>96208984</fb>
    <v>26</v>
  </rv>
  <rv s="1">
    <fb>0.223</fb>
    <v>25</v>
  </rv>
  <rv s="1">
    <fb>0.42899999999999999</fb>
    <v>25</v>
  </rv>
  <rv s="1">
    <fb>2.5000000000000001E-2</fb>
    <v>25</v>
  </rv>
  <rv s="1">
    <fb>6.7000000000000004E-2</fb>
    <v>25</v>
  </rv>
  <rv s="1">
    <fb>0.11900000000000001</fb>
    <v>25</v>
  </rv>
  <rv s="1">
    <fb>0.16300000000000001</fb>
    <v>25</v>
  </rv>
  <rv s="1">
    <fb>0.77446998596191408</fb>
    <v>25</v>
  </rv>
  <rv s="0">
    <v>536870912</v>
    <v>Bắc Ninh province</v>
    <v>f32cb7e6-e8de-e987-fdc3-d349e9f4e82e</v>
    <v>en-US</v>
    <v>Map</v>
  </rv>
  <rv s="0">
    <v>536870912</v>
    <v>Hà Nam province</v>
    <v>487be835-d973-fb64-dcea-78dcd420f020</v>
    <v>en-US</v>
    <v>Map</v>
  </rv>
  <rv s="0">
    <v>536870912</v>
    <v>Hải Dương province</v>
    <v>8acb8c46-8b5a-33bf-53cf-c27780d39c94</v>
    <v>en-US</v>
    <v>Map</v>
  </rv>
  <rv s="0">
    <v>536870912</v>
    <v>Hưng Yên province</v>
    <v>28bec015-649c-78a7-80bf-5842f8e42a12</v>
    <v>en-US</v>
    <v>Map</v>
  </rv>
  <rv s="0">
    <v>536870912</v>
    <v>Nam Định province</v>
    <v>bfef2284-e95b-f092-469d-6a00de173018</v>
    <v>en-US</v>
    <v>Map</v>
  </rv>
  <rv s="0">
    <v>536870912</v>
    <v>Ninh Bình province</v>
    <v>62b119cc-af6e-600e-8f0c-8333a24d940a</v>
    <v>en-US</v>
    <v>Map</v>
  </rv>
  <rv s="0">
    <v>536870912</v>
    <v>Thái Bình province</v>
    <v>5fb489c4-f4d9-5813-f4f1-3548876f62fa</v>
    <v>en-US</v>
    <v>Map</v>
  </rv>
  <rv s="0">
    <v>536870912</v>
    <v>Vĩnh Phúc province</v>
    <v>e2d0495a-c25b-d038-7185-9f8e7afa2730</v>
    <v>en-US</v>
    <v>Map</v>
  </rv>
  <rv s="0">
    <v>536870912</v>
    <v>Haiphong</v>
    <v>6edab830-6882-62ad-88e9-7904a37fc990</v>
    <v>en-US</v>
    <v>Map</v>
  </rv>
  <rv s="0">
    <v>536870912</v>
    <v>Hà Tĩnh province</v>
    <v>3dcdefa5-fb5d-3347-2dd3-55319a5b0acb</v>
    <v>en-US</v>
    <v>Map</v>
  </rv>
  <rv s="0">
    <v>536870912</v>
    <v>Nghệ An province</v>
    <v>4e40491b-6f31-6a9b-5d9c-53a76d07c546</v>
    <v>en-US</v>
    <v>Map</v>
  </rv>
  <rv s="0">
    <v>536870912</v>
    <v>Quảng Bình province</v>
    <v>3aa9562a-bfb9-0f3c-9f71-2b9e41c31533</v>
    <v>en-US</v>
    <v>Map</v>
  </rv>
  <rv s="0">
    <v>536870912</v>
    <v>Quảng Trị province</v>
    <v>c613de3e-0fd4-e7d3-ca25-23a39acae6a0</v>
    <v>en-US</v>
    <v>Map</v>
  </rv>
  <rv s="0">
    <v>536870912</v>
    <v>Thanh Hóa province</v>
    <v>e85d3d3b-de2c-8d0a-e9b3-e0142c67be30</v>
    <v>en-US</v>
    <v>Map</v>
  </rv>
  <rv s="0">
    <v>536870912</v>
    <v>Thừa Thiên Huế province</v>
    <v>f7b07e05-ef1d-43f3-01a3-e6cd0b4f3a13</v>
    <v>en-US</v>
    <v>Map</v>
  </rv>
  <rv s="0">
    <v>536870912</v>
    <v>Bắc Giang province</v>
    <v>565a6be2-c2ca-e29d-89a9-6161effa941e</v>
    <v>en-US</v>
    <v>Map</v>
  </rv>
  <rv s="0">
    <v>536870912</v>
    <v>Bắc Kạn province</v>
    <v>287b832d-31a9-3b71-8642-c20e8f2e69a8</v>
    <v>en-US</v>
    <v>Map</v>
  </rv>
  <rv s="0">
    <v>536870912</v>
    <v>Cao Bằng province</v>
    <v>4acb1135-b911-f6ea-8d38-a940f8dc11a1</v>
    <v>en-US</v>
    <v>Map</v>
  </rv>
  <rv s="0">
    <v>536870912</v>
    <v>Hà Giang province</v>
    <v>1861cc26-7c4c-05a9-c9f3-f449c61f7d25</v>
    <v>en-US</v>
    <v>Map</v>
  </rv>
  <rv s="0">
    <v>536870912</v>
    <v>Lạng Sơn province</v>
    <v>914134e7-0862-f123-9791-cd6e04f173b3</v>
    <v>en-US</v>
    <v>Map</v>
  </rv>
  <rv s="0">
    <v>536870912</v>
    <v>Lào Cai province</v>
    <v>e398ec8c-3d0a-088f-1c27-343b87fc142f</v>
    <v>en-US</v>
    <v>Map</v>
  </rv>
  <rv s="0">
    <v>536870912</v>
    <v>Phú Thọ province</v>
    <v>831c7c39-85f2-3548-d178-4223f9d133ad</v>
    <v>en-US</v>
    <v>Map</v>
  </rv>
  <rv s="0">
    <v>536870912</v>
    <v>Quảng Ninh province</v>
    <v>6052e50c-808a-4d40-1aaa-48b5a1866b12</v>
    <v>en-US</v>
    <v>Map</v>
  </rv>
  <rv s="0">
    <v>536870912</v>
    <v>Thái Nguyên province</v>
    <v>60f9ea3e-dc6b-64b9-5230-ae1470a1809d</v>
    <v>en-US</v>
    <v>Map</v>
  </rv>
  <rv s="0">
    <v>536870912</v>
    <v>Tuyên Quang province</v>
    <v>c88ac0af-3851-b70b-971a-c7c81048d029</v>
    <v>en-US</v>
    <v>Map</v>
  </rv>
  <rv s="0">
    <v>536870912</v>
    <v>Yên Bái province</v>
    <v>a82e4115-c1a0-2d48-cb6b-ebe836d9f43a</v>
    <v>en-US</v>
    <v>Map</v>
  </rv>
  <rv s="0">
    <v>536870912</v>
    <v>Điện Biên province</v>
    <v>91b9e8ee-eb7b-c834-6445-5d05e91c47a5</v>
    <v>en-US</v>
    <v>Map</v>
  </rv>
  <rv s="0">
    <v>536870912</v>
    <v>Hòa Bình province</v>
    <v>03e2ae54-8c3a-35e0-5faa-8ef8f701b67e</v>
    <v>en-US</v>
    <v>Map</v>
  </rv>
  <rv s="0">
    <v>536870912</v>
    <v>Lai Châu province</v>
    <v>da6a5867-3d61-027b-af64-9f61fa7cbb04</v>
    <v>en-US</v>
    <v>Map</v>
  </rv>
  <rv s="0">
    <v>536870912</v>
    <v>Sơn La province</v>
    <v>5738642d-4eb4-eb73-fa47-24aa6c579186</v>
    <v>en-US</v>
    <v>Map</v>
  </rv>
  <rv s="0">
    <v>536870912</v>
    <v>Đắk Lắk province</v>
    <v>911a9538-ad13-0c7f-cbab-a572c6a754ba</v>
    <v>en-US</v>
    <v>Map</v>
  </rv>
  <rv s="0">
    <v>536870912</v>
    <v>Đăk Nông province</v>
    <v>9c454915-10c0-3f6c-882b-8d824df8a64c</v>
    <v>en-US</v>
    <v>Map</v>
  </rv>
  <rv s="0">
    <v>536870912</v>
    <v>Gia Lai province</v>
    <v>1cb0f121-66e9-ca97-81f1-6e75deb8f21b</v>
    <v>en-US</v>
    <v>Map</v>
  </rv>
  <rv s="0">
    <v>536870912</v>
    <v>Kon Tum province</v>
    <v>93b7804d-46a2-159f-7821-f977368c6893</v>
    <v>en-US</v>
    <v>Map</v>
  </rv>
  <rv s="0">
    <v>536870912</v>
    <v>Lâm Đồng province</v>
    <v>7a96af21-4aad-f7fe-bc18-33530300b18a</v>
    <v>en-US</v>
    <v>Map</v>
  </rv>
  <rv s="0">
    <v>536870912</v>
    <v>Bình Định province</v>
    <v>a469a9d4-44af-45e8-d780-dce0ef044a48</v>
    <v>en-US</v>
    <v>Map</v>
  </rv>
  <rv s="0">
    <v>536870912</v>
    <v>Khánh Hòa province</v>
    <v>5598b0f8-eaa1-ada1-ce8e-7e1b98529633</v>
    <v>en-US</v>
    <v>Map</v>
  </rv>
  <rv s="0">
    <v>536870912</v>
    <v>Phu Yen</v>
    <v>c67cc648-ba1e-562c-d5f7-940d92dfd8ca</v>
    <v>en-US</v>
    <v>Map</v>
  </rv>
  <rv s="0">
    <v>536870912</v>
    <v>Quảng Nam province</v>
    <v>305b9189-4e80-e15c-3b1f-387a1b5008b5</v>
    <v>en-US</v>
    <v>Map</v>
  </rv>
  <rv s="0">
    <v>536870912</v>
    <v>Quảng Ngãi province</v>
    <v>f5034736-04f4-30be-a40e-ab8e3b3a6d79</v>
    <v>en-US</v>
    <v>Map</v>
  </rv>
  <rv s="0">
    <v>536870912</v>
    <v>Da Nang</v>
    <v>f8246024-fd05-5f2e-4a14-6b19c96b8962</v>
    <v>en-US</v>
    <v>Map</v>
  </rv>
  <rv s="0">
    <v>536870912</v>
    <v>Bà Rịa-Vũng Tàu</v>
    <v>20d39cc1-6931-f04a-dcd1-2d5b0ddf6f3c</v>
    <v>en-US</v>
    <v>Map</v>
  </rv>
  <rv s="0">
    <v>536870912</v>
    <v>Bình Dương province</v>
    <v>d89db6cd-8257-6ac5-a341-88304536f6da</v>
    <v>en-US</v>
    <v>Map</v>
  </rv>
  <rv s="0">
    <v>536870912</v>
    <v>Bình Phước province</v>
    <v>1002326f-c5db-da9d-6186-3a1e66b26354</v>
    <v>en-US</v>
    <v>Map</v>
  </rv>
  <rv s="0">
    <v>536870912</v>
    <v>Bình Thuận province</v>
    <v>a087acd2-ef54-268e-82ba-720ee03f0137</v>
    <v>en-US</v>
    <v>Map</v>
  </rv>
  <rv s="0">
    <v>536870912</v>
    <v>Đồng Nai province</v>
    <v>cdfef3d2-dda8-9c2e-6adf-7ad8a9b3fbd8</v>
    <v>en-US</v>
    <v>Map</v>
  </rv>
  <rv s="0">
    <v>536870912</v>
    <v>Ninh Thuận province</v>
    <v>abd21cf9-1465-f7a6-7529-9341fa746c6e</v>
    <v>en-US</v>
    <v>Map</v>
  </rv>
  <rv s="0">
    <v>536870912</v>
    <v>Tây Ninh province</v>
    <v>f9446c01-964f-f16e-f11f-ac62c3fe2c30</v>
    <v>en-US</v>
    <v>Map</v>
  </rv>
  <rv s="0">
    <v>536870912</v>
    <v>An Giang province</v>
    <v>25c3e5c8-1034-857f-0ebc-d16255f30da8</v>
    <v>en-US</v>
    <v>Map</v>
  </rv>
  <rv s="0">
    <v>536870912</v>
    <v>Bạc Liêu province</v>
    <v>0f6fdb10-aa8f-ce35-6b17-ba9671510900</v>
    <v>en-US</v>
    <v>Map</v>
  </rv>
  <rv s="0">
    <v>536870912</v>
    <v>Cà Mau province</v>
    <v>96b2988a-eab5-1716-03a6-ffc1ee638013</v>
    <v>en-US</v>
    <v>Map</v>
  </rv>
  <rv s="0">
    <v>536870912</v>
    <v>Đồng Tháp province</v>
    <v>8808ccd8-3c62-17d7-bb5b-70dc40b07b15</v>
    <v>en-US</v>
    <v>Map</v>
  </rv>
  <rv s="0">
    <v>536870912</v>
    <v>Hậu Giang province</v>
    <v>6ae2fe3f-17f6-a5e2-f889-40d201c226e9</v>
    <v>en-US</v>
    <v>Map</v>
  </rv>
  <rv s="0">
    <v>536870912</v>
    <v>Kiên Giang province</v>
    <v>6008b700-0c21-4707-4129-29936df67d64</v>
    <v>en-US</v>
    <v>Map</v>
  </rv>
  <rv s="0">
    <v>536870912</v>
    <v>Long An province</v>
    <v>4ca9f569-2145-ea37-5507-74d6c9988505</v>
    <v>en-US</v>
    <v>Map</v>
  </rv>
  <rv s="0">
    <v>536870912</v>
    <v>Sóc Trăng province</v>
    <v>1d7122d8-d2ba-3531-6999-45f2aede18a4</v>
    <v>en-US</v>
    <v>Map</v>
  </rv>
  <rv s="0">
    <v>536870912</v>
    <v>Tiền Giang province</v>
    <v>4f78c3f8-c5ce-9ae8-ca22-9912d3d16eca</v>
    <v>en-US</v>
    <v>Map</v>
  </rv>
  <rv s="0">
    <v>536870912</v>
    <v>Trà Vinh province</v>
    <v>45b804fe-012c-42e6-bc9f-95f5b8eae928</v>
    <v>en-US</v>
    <v>Map</v>
  </rv>
  <rv s="0">
    <v>536870912</v>
    <v>Vĩnh Long province</v>
    <v>f3c039e0-a221-404d-c8bf-4d87246216df</v>
    <v>en-US</v>
    <v>Map</v>
  </rv>
  <rv s="0">
    <v>536870912</v>
    <v>Cần Thơ</v>
    <v>c6aad310-0349-6338-8c66-5a69d2c4914f</v>
    <v>en-US</v>
    <v>Map</v>
  </rv>
  <rv s="3">
    <v>37</v>
  </rv>
  <rv s="1">
    <fb>0.190698671023491</fb>
    <v>25</v>
  </rv>
  <rv s="3">
    <v>38</v>
  </rv>
  <rv s="1">
    <fb>0.376</fb>
    <v>25</v>
  </rv>
  <rv s="1">
    <fb>2.01300001144409E-2</fb>
    <v>33</v>
  </rv>
  <rv s="1">
    <fb>35332140</fb>
    <v>26</v>
  </rv>
  <rv s="5">
    <v>#VALUE!</v>
    <v>en-US</v>
    <v>9eb3adfc-79da-211b-6de2-580a522f56a5</v>
    <v>536870912</v>
    <v>1</v>
    <v>89</v>
    <v>18</v>
    <v>Vietnam</v>
    <v>21</v>
    <v>22</v>
    <v>Map</v>
    <v>23</v>
    <v>90</v>
    <v>VN</v>
    <v>727</v>
    <v>728</v>
    <v>729</v>
    <v>730</v>
    <v>731</v>
    <v>732</v>
    <v>733</v>
    <v>734</v>
    <v>735</v>
    <v>VND</v>
    <v>Vietnam, officially the Socialist Republic of Vietnam, is a country at the eastern edge of mainland Southeast Asia, with an area of 331,212 square kilometres and a population of over 100 million, making it the world's fifteenth-most populous country. Vietnam shares land borders with China to the north, and Laos and Cambodia to the west. It shares maritime borders with Thailand through the Gulf of Thailand, and the Philippines, Indonesia, and Malaysia through the South China Sea. Its capital is Hanoi and its largest city is Ho Chi Minh City.</v>
    <v>736</v>
    <v>737</v>
    <v>738</v>
    <v>739</v>
    <v>740</v>
    <v>741</v>
    <v>742</v>
    <v>743</v>
    <v>744</v>
    <v>745</v>
    <v>746</v>
    <v>749</v>
    <v>750</v>
    <v>751</v>
    <v>752</v>
    <v>753</v>
    <v>754</v>
    <v>Vietnam</v>
    <v>Tiến Quân Ca</v>
    <v>755</v>
    <v>Cộng hòa Xã hội Chủ nghĩa Việt Nam</v>
    <v>756</v>
    <v>757</v>
    <v>758</v>
    <v>759</v>
    <v>517</v>
    <v>760</v>
    <v>761</v>
    <v>762</v>
    <v>763</v>
    <v>764</v>
    <v>765</v>
    <v>826</v>
    <v>827</v>
    <v>828</v>
    <v>829</v>
    <v>830</v>
    <v>Vietnam</v>
    <v>831</v>
    <v>mdp/vdpid/251</v>
  </rv>
  <rv s="0">
    <v>536870912</v>
    <v>Italy</v>
    <v>09e8f885-427b-8850-947d-202e0287b9e8</v>
    <v>en-US</v>
    <v>Map</v>
  </rv>
  <rv s="1">
    <fb>0.432345141769226</fb>
    <v>25</v>
  </rv>
  <rv s="1">
    <fb>301338</fb>
    <v>26</v>
  </rv>
  <rv s="1">
    <fb>347000</fb>
    <v>26</v>
  </rv>
  <rv s="1">
    <fb>7.3</fb>
    <v>27</v>
  </rv>
  <rv s="1">
    <fb>39</fb>
    <v>28</v>
  </rv>
  <rv s="0">
    <v>536870912</v>
    <v>Rome</v>
    <v>5ed498af-fa85-2a88-874d-212494ddb06f</v>
    <v>en-US</v>
    <v>Map</v>
  </rv>
  <rv s="1">
    <fb>320411.45899999997</fb>
    <v>26</v>
  </rv>
  <rv s="1">
    <fb>110.623595648239</fb>
    <v>29</v>
  </rv>
  <rv s="1">
    <fb>6.1124694376529102E-3</fb>
    <v>25</v>
  </rv>
  <rv s="1">
    <fb>5002.4066798773601</fb>
    <v>26</v>
  </rv>
  <rv s="1">
    <fb>1.29</fb>
    <v>27</v>
  </rv>
  <rv s="1">
    <fb>0.31790303272888798</fb>
    <v>25</v>
  </rv>
  <rv s="1">
    <fb>79.948454735494707</fb>
    <v>30</v>
  </rv>
  <rv s="1">
    <fb>1.61</fb>
    <v>31</v>
  </rv>
  <rv s="1">
    <fb>2001244392041.5701</fb>
    <v>32</v>
  </rv>
  <rv s="1">
    <fb>1.0187936</fb>
    <v>25</v>
  </rv>
  <rv s="1">
    <fb>0.61933000000000005</fb>
    <v>25</v>
  </rv>
  <rv s="2">
    <v>10</v>
    <v>23</v>
    <v>92</v>
    <v>7</v>
    <v>0</v>
    <v>Image of Italy</v>
  </rv>
  <rv s="1">
    <fb>2.6</fb>
    <v>30</v>
  </rv>
  <rv s="0">
    <v>805306368</v>
    <v>Sergio Mattarella (President)</v>
    <v>7b09388e-8b92-1261-db16-7c6882735fe1</v>
    <v>en-US</v>
    <v>Generic</v>
  </rv>
  <rv s="0">
    <v>805306368</v>
    <v>Giorgia Meloni (Prime minister)</v>
    <v>5c9bb82e-e08f-f5eb-9f29-f20e75e8eb8f</v>
    <v>en-US</v>
    <v>Generic</v>
  </rv>
  <rv s="3">
    <v>39</v>
  </rv>
  <rv s="4">
    <v>https://www.bing.com/search?q=italy&amp;form=skydnc</v>
    <v>Learn more on Bing</v>
  </rv>
  <rv s="1">
    <fb>82.946341463414697</fb>
    <v>30</v>
  </rv>
  <rv s="1">
    <fb>522087790000</fb>
    <v>32</v>
  </rv>
  <rv s="1">
    <fb>2</fb>
    <v>30</v>
  </rv>
  <rv s="3">
    <v>40</v>
  </rv>
  <rv s="1">
    <fb>0.2283268819</fb>
    <v>25</v>
  </rv>
  <rv s="1">
    <fb>3.9773999999999998</fb>
    <v>27</v>
  </rv>
  <rv s="1">
    <fb>59109668</fb>
    <v>26</v>
  </rv>
  <rv s="1">
    <fb>0.23</fb>
    <v>25</v>
  </rv>
  <rv s="1">
    <fb>0.26700000000000002</fb>
    <v>25</v>
  </rv>
  <rv s="1">
    <fb>0.42100000000000004</fb>
    <v>25</v>
  </rv>
  <rv s="1">
    <fb>1.9E-2</fb>
    <v>25</v>
  </rv>
  <rv s="1">
    <fb>0.06</fb>
    <v>25</v>
  </rv>
  <rv s="1">
    <fb>0.16899999999999998</fb>
    <v>25</v>
  </rv>
  <rv s="1">
    <fb>0.495550003051758</fb>
    <v>25</v>
  </rv>
  <rv s="0">
    <v>536870912</v>
    <v>Abruzzo</v>
    <v>6d07734f-0734-da73-bda9-a2e9e44c1042</v>
    <v>en-US</v>
    <v>Map</v>
  </rv>
  <rv s="0">
    <v>536870912</v>
    <v>Basilicata</v>
    <v>c286f639-68f8-3ed2-0119-87142c109b42</v>
    <v>en-US</v>
    <v>Map</v>
  </rv>
  <rv s="0">
    <v>536870912</v>
    <v>Calabria</v>
    <v>87d05176-c03a-c209-fa72-dfafed738418</v>
    <v>en-US</v>
    <v>Map</v>
  </rv>
  <rv s="0">
    <v>536870912</v>
    <v>Campania</v>
    <v>9933ef2b-24f2-a29d-6e4f-fe6bffe78694</v>
    <v>en-US</v>
    <v>Map</v>
  </rv>
  <rv s="0">
    <v>536870912</v>
    <v>Emilia-Romagna</v>
    <v>129d3426-cfe5-9154-2989-f246e1aa5cec</v>
    <v>en-US</v>
    <v>Map</v>
  </rv>
  <rv s="0">
    <v>536870912</v>
    <v>Friuli Venezia Giulia</v>
    <v>dfe11af7-836d-40cf-b176-995500a2a2fb</v>
    <v>en-US</v>
    <v>Map</v>
  </rv>
  <rv s="0">
    <v>536870912</v>
    <v>Lazio</v>
    <v>e5d48b4e-72f5-da43-7854-da4784df7b51</v>
    <v>en-US</v>
    <v>Map</v>
  </rv>
  <rv s="0">
    <v>536870912</v>
    <v>Liguria</v>
    <v>bc9d0bc0-7501-9ea0-5ffc-8d29df64f153</v>
    <v>en-US</v>
    <v>Map</v>
  </rv>
  <rv s="0">
    <v>536870912</v>
    <v>Lombardy</v>
    <v>4e4d95c0-6e91-acd2-e10c-7165bc365e22</v>
    <v>en-US</v>
    <v>Map</v>
  </rv>
  <rv s="0">
    <v>536870912</v>
    <v>Marche</v>
    <v>262ac8bf-0bbd-ba85-aef3-2130493eaa9b</v>
    <v>en-US</v>
    <v>Map</v>
  </rv>
  <rv s="0">
    <v>536870912</v>
    <v>Molise</v>
    <v>048932e0-ef04-999e-a84f-326f5eaf1b11</v>
    <v>en-US</v>
    <v>Map</v>
  </rv>
  <rv s="0">
    <v>536870912</v>
    <v>Piedmont</v>
    <v>1a1b261b-a6b1-8503-5262-e2f707fe58ce</v>
    <v>en-US</v>
    <v>Map</v>
  </rv>
  <rv s="0">
    <v>536870912</v>
    <v>Apulia</v>
    <v>162619f7-7efb-76cc-0544-2da0306bd7c3</v>
    <v>en-US</v>
    <v>Map</v>
  </rv>
  <rv s="0">
    <v>536870912</v>
    <v>Sardinia</v>
    <v>2ac543b8-3c5f-c1c2-9c26-7153eb61c3d0</v>
    <v>en-US</v>
    <v>Map</v>
  </rv>
  <rv s="0">
    <v>536870912</v>
    <v>Sicily</v>
    <v>610fbc95-e594-a116-6d30-36286446a003</v>
    <v>en-US</v>
    <v>Map</v>
  </rv>
  <rv s="0">
    <v>536870912</v>
    <v>Tuscany</v>
    <v>a8854f08-da35-486d-5bd1-760f4eeb3da0</v>
    <v>en-US</v>
    <v>Map</v>
  </rv>
  <rv s="0">
    <v>536870912</v>
    <v>Trentino-Alto Adige/Südtirol</v>
    <v>b537e28d-6f0c-d8cf-1384-534def0737dd</v>
    <v>en-US</v>
    <v>Map</v>
  </rv>
  <rv s="0">
    <v>536870912</v>
    <v>Umbria</v>
    <v>a75c12d3-c6a9-ea7c-e844-577d1cfe72dd</v>
    <v>en-US</v>
    <v>Map</v>
  </rv>
  <rv s="0">
    <v>536870912</v>
    <v>Aosta Valley</v>
    <v>d9b216c7-5de6-eaf4-2383-5f7fc3075fdb</v>
    <v>en-US</v>
    <v>Map</v>
  </rv>
  <rv s="0">
    <v>536870912</v>
    <v>Veneto</v>
    <v>6809e680-9adc-134d-ebe9-70b79f5adb5f</v>
    <v>en-US</v>
    <v>Map</v>
  </rv>
  <rv s="3">
    <v>41</v>
  </rv>
  <rv s="1">
    <fb>0.24250464933068097</fb>
    <v>25</v>
  </rv>
  <rv s="3">
    <v>42</v>
  </rv>
  <rv s="1">
    <fb>0.59099999999999997</fb>
    <v>25</v>
  </rv>
  <rv s="1">
    <fb>9.8870000839233405E-2</fb>
    <v>33</v>
  </rv>
  <rv s="1">
    <fb>42651966</fb>
    <v>26</v>
  </rv>
  <rv s="7">
    <v>#VALUE!</v>
    <v>en-US</v>
    <v>09e8f885-427b-8850-947d-202e0287b9e8</v>
    <v>536870912</v>
    <v>1</v>
    <v>95</v>
    <v>83</v>
    <v>Italy</v>
    <v>21</v>
    <v>22</v>
    <v>Map</v>
    <v>23</v>
    <v>96</v>
    <v>IT</v>
    <v>834</v>
    <v>835</v>
    <v>836</v>
    <v>837</v>
    <v>838</v>
    <v>839</v>
    <v>840</v>
    <v>841</v>
    <v>842</v>
    <v>EUR</v>
    <v>Italy, officially the Italian Republic or the Republic of Italy, is a country in Southern and Western Europe. Located in the middle of the Mediterranean Sea, it consists of a peninsula delimited by the Alps and surrounded by several islands. Italy shares land borders with France, Switzerland, Austria, Slovenia and the enclaved microstates of Vatican City and San Marino. It has a territorial exclave in Switzerland, Campione, and some islands in the African Plate. Italy covers an area of 301,340 km², with a population of about 60 million; it is the third-most populous member state of the European Union, the sixth-most populous country in Europe, and the tenth-largest country in the continent by land area. Its capital and largest city is Rome.</v>
    <v>843</v>
    <v>844</v>
    <v>845</v>
    <v>846</v>
    <v>847</v>
    <v>848</v>
    <v>849</v>
    <v>850</v>
    <v>851</v>
    <v>852</v>
    <v>839</v>
    <v>855</v>
    <v>856</v>
    <v>857</v>
    <v>858</v>
    <v>859</v>
    <v>Italy</v>
    <v>Il Canto degli Italiani</v>
    <v>860</v>
    <v>Repubblica Italiana</v>
    <v>861</v>
    <v>862</v>
    <v>863</v>
    <v>864</v>
    <v>865</v>
    <v>866</v>
    <v>867</v>
    <v>868</v>
    <v>711</v>
    <v>869</v>
    <v>870</v>
    <v>891</v>
    <v>892</v>
    <v>893</v>
    <v>894</v>
    <v>895</v>
    <v>Italy</v>
    <v>896</v>
    <v>mdp/vdpid/118</v>
  </rv>
</rvData>
</file>

<file path=xl/richData/rdrichvaluestructure.xml><?xml version="1.0" encoding="utf-8"?>
<rvStructures xmlns="http://schemas.microsoft.com/office/spreadsheetml/2017/richdata" count="8">
  <s t="_linkedentity2">
    <k n="%EntityServiceId" t="i"/>
    <k n="_DisplayString" t="s"/>
    <k n="%EntityId" t="s"/>
    <k n="%EntityCulture" t="s"/>
    <k n="_Icon" t="s"/>
  </s>
  <s t="_formattednumber">
    <k n="_Format" t="spb"/>
  </s>
  <s t="_webimage">
    <k n="WebImageIdentifier" t="i"/>
    <k n="_Provider" t="spb"/>
    <k n="Attribution" t="spb"/>
    <k n="CalcOrigin" t="i"/>
    <k n="ComputedImage" t="b"/>
    <k n="Text" t="s"/>
  </s>
  <s t="_array">
    <k n="array" t="a"/>
  </s>
  <s t="_hyperlink">
    <k n="Address" t="s"/>
    <k n="Text"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rket cap of listed companies"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rket cap of listed companies" t="r"/>
    <k n="Maternal mortality ratio"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rvStructures>
</file>

<file path=xl/richData/rdsupportingpropertybag.xml><?xml version="1.0" encoding="utf-8"?>
<supportingPropertyBags xmlns="http://schemas.microsoft.com/office/spreadsheetml/2017/richdata2">
  <spbArrays count="3">
    <a count="64">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63">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63">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spbArrays>
  <spbData count="97">
    <spb s="0">
      <v xml:space="preserve">data.worldbank.org	</v>
      <v xml:space="preserve">	</v>
      <v xml:space="preserve">http://data.worldbank.org/indicator/FP.CPI.TOTL	</v>
      <v xml:space="preserve">	</v>
    </spb>
    <spb s="0">
      <v xml:space="preserve">Wikipedia	travel.state.gov	</v>
      <v xml:space="preserve">CC-BY-SA		</v>
      <v xml:space="preserve">http://en.wikipedia.org/wiki/India	https://travel.state.gov/content/travel/en/international-travel/International-Travel-Country-Information-Pages/India.html	</v>
      <v xml:space="preserve">http://creativecommons.org/licenses/by-sa/3.0/		</v>
    </spb>
    <spb s="0">
      <v xml:space="preserve">Wikipedia	</v>
      <v xml:space="preserve">CC BY-SA 3.0	</v>
      <v xml:space="preserve">https://en.wikipedia.org/wiki/India	</v>
      <v xml:space="preserve">https://creativecommons.org/licenses/by-sa/3.0	</v>
    </spb>
    <spb s="0">
      <v xml:space="preserve">data.worldbank.org	</v>
      <v xml:space="preserve">	</v>
      <v xml:space="preserve">http://data.worldbank.org/indicator/SP.DYN.CBRT.IN	</v>
      <v xml:space="preserve">	</v>
    </spb>
    <spb s="0">
      <v xml:space="preserve">Wikipedia	</v>
      <v xml:space="preserve">CC-BY-SA	</v>
      <v xml:space="preserve">http://en.wikipedia.org/wiki/India	</v>
      <v xml:space="preserve">http://creativecommons.org/licenses/by-sa/3.0/	</v>
    </spb>
    <spb s="0">
      <v xml:space="preserve">Cia	</v>
      <v xml:space="preserve">	</v>
      <v xml:space="preserve">https://www.cia.gov/library/publications/the-world-factbook/geos/in.html?Transportation	</v>
      <v xml:space="preserve">	</v>
    </spb>
    <spb s="0">
      <v xml:space="preserve">data.worldbank.org	</v>
      <v xml:space="preserve">	</v>
      <v xml:space="preserve">http://data.worldbank.org/indicator/SP.DYN.TFRT.IN	</v>
      <v xml:space="preserve">	</v>
    </spb>
    <spb s="0">
      <v xml:space="preserve">Wikipedia	Cia	travel.state.gov	</v>
      <v xml:space="preserve">CC-BY-SA			</v>
      <v xml:space="preserve">http://en.wikipedia.org/wiki/India	https://www.cia.gov/library/publications/the-world-factbook/geos/in.html?Transportation	https://travel.state.gov/content/travel/en/international-travel/International-Travel-Country-Information-Pages/India.html	</v>
      <v xml:space="preserve">http://creativecommons.org/licenses/by-sa/3.0/			</v>
    </spb>
    <spb s="0">
      <v xml:space="preserve">data.worldbank.org	</v>
      <v xml:space="preserve">	</v>
      <v xml:space="preserve">http://data.worldbank.org/indicator/SP.DYN.LE00.IN	</v>
      <v xml:space="preserve">	</v>
    </spb>
    <spb s="0">
      <v xml:space="preserve">data.worldbank.org	</v>
      <v xml:space="preserve">	</v>
      <v xml:space="preserve">http://data.worldbank.org/indicator/SP.DYN.IMRT.IN	</v>
      <v xml:space="preserve">	</v>
    </spb>
    <spb s="0">
      <v xml:space="preserve">data.worldbank.org	</v>
      <v xml:space="preserve">	</v>
      <v xml:space="preserve">http://data.worldbank.org/indicator/SP.URB.TOTL	</v>
      <v xml:space="preserve">	</v>
    </spb>
    <spb s="0">
      <v xml:space="preserve">data.worldbank.org	</v>
      <v xml:space="preserve">	</v>
      <v xml:space="preserve">http://data.worldbank.org/indicator/MS.MIL.TOTL.P1	</v>
      <v xml:space="preserve">	</v>
    </spb>
    <spb s="0">
      <v xml:space="preserve">data.worldbank.org	</v>
      <v xml:space="preserve">	</v>
      <v xml:space="preserve">http://data.worldbank.org/indicator/SH.MED.PHYS.ZS	</v>
      <v xml:space="preserve">	</v>
    </spb>
    <spb s="0">
      <v xml:space="preserve">data.worldbank.org	</v>
      <v xml:space="preserve">	</v>
      <v xml:space="preserve">http://data.worldbank.org/indicator/EN.ATM.CO2E.KT	</v>
      <v xml:space="preserve">	</v>
    </spb>
    <spb s="0">
      <v xml:space="preserve">data.worldbank.org	</v>
      <v xml:space="preserve">	</v>
      <v xml:space="preserve">http://data.worldbank.org/indicator/SH.STA.MMRT	</v>
      <v xml:space="preserve">	</v>
    </spb>
    <spb s="0">
      <v xml:space="preserve">data.worldbank.org	</v>
      <v xml:space="preserve">	</v>
      <v xml:space="preserve">http://data.worldbank.org/indicator/EG.USE.ELEC.KH.PC	</v>
      <v xml:space="preserve">	</v>
    </spb>
    <spb s="0">
      <v xml:space="preserve">data.worldbank.org	</v>
      <v xml:space="preserve">	</v>
      <v xml:space="preserve">http://data.worldbank.org/indicator/SL.TLF.CACT.ZS	</v>
      <v xml:space="preserve">	</v>
    </spb>
    <spb s="1">
      <v>0</v>
      <v>1</v>
      <v>2</v>
      <v>2</v>
      <v>3</v>
      <v>2</v>
      <v>2</v>
      <v>2</v>
      <v>4</v>
      <v>2</v>
      <v>2</v>
      <v>4</v>
      <v>2</v>
      <v>2</v>
      <v>5</v>
      <v>6</v>
      <v>7</v>
      <v>5</v>
      <v>8</v>
      <v>2</v>
      <v>5</v>
      <v>9</v>
      <v>10</v>
      <v>11</v>
      <v>5</v>
      <v>5</v>
      <v>2</v>
      <v>5</v>
      <v>12</v>
      <v>13</v>
      <v>14</v>
      <v>15</v>
      <v>5</v>
      <v>7</v>
      <v>5</v>
      <v>5</v>
      <v>5</v>
      <v>5</v>
      <v>5</v>
      <v>5</v>
      <v>5</v>
      <v>5</v>
      <v>5</v>
      <v>5</v>
      <v>16</v>
    </spb>
    <spb s="2">
      <v>0</v>
      <v>Name</v>
      <v>LearnMoreOnLink</v>
    </spb>
    <spb s="3">
      <v>0</v>
      <v>0</v>
      <v>0</v>
    </spb>
    <spb s="4">
      <v>0</v>
      <v>0</v>
    </spb>
    <spb s="5">
      <v>19</v>
      <v>19</v>
      <v>20</v>
      <v>19</v>
    </spb>
    <spb s="6">
      <v>1</v>
      <v>2</v>
      <v>3</v>
    </spb>
    <spb s="7">
      <v>https://www.bing.com</v>
      <v>https://www.bing.com/th?id=Ga%5Cbing_yt.png&amp;w=100&amp;h=40&amp;c=0&amp;pid=0.1</v>
      <v>Powered by Bing</v>
    </spb>
    <spb s="8">
      <v>2019</v>
      <v>2017</v>
      <v>square km</v>
      <v>per thousand (2018)</v>
      <v>2021</v>
      <v>2019</v>
      <v>2018</v>
      <v>per liter (2016)</v>
      <v>2019</v>
      <v>years (2018)</v>
      <v>2017</v>
      <v>per thousand (2018)</v>
      <v>2019</v>
      <v>2017</v>
      <v>2016</v>
      <v>2019</v>
      <v>2016</v>
      <v>2018</v>
      <v>kilotons per year (2016)</v>
      <v>deaths per 100,000 (2017)</v>
      <v>kWh (2014)</v>
      <v>2014</v>
      <v>2019</v>
      <v>2011</v>
      <v>2011</v>
      <v>2011</v>
      <v>2011</v>
      <v>2011</v>
      <v>2015</v>
      <v>2011</v>
      <v>2011</v>
      <v>2017</v>
      <v>2018</v>
      <v>2019</v>
    </spb>
    <spb s="9">
      <v>4</v>
    </spb>
    <spb s="9">
      <v>5</v>
    </spb>
    <spb s="9">
      <v>6</v>
    </spb>
    <spb s="9">
      <v>7</v>
    </spb>
    <spb s="9">
      <v>8</v>
    </spb>
    <spb s="9">
      <v>9</v>
    </spb>
    <spb s="9">
      <v>10</v>
    </spb>
    <spb s="9">
      <v>11</v>
    </spb>
    <spb s="9">
      <v>12</v>
    </spb>
    <spb s="0">
      <v xml:space="preserve">Wikipedia	Cia	travel.state.gov	</v>
      <v xml:space="preserve">CC-BY-SA			</v>
      <v xml:space="preserve">http://en.wikipedia.org/wiki/Japan	https://www.cia.gov/library/publications/the-world-factbook/geos/ja.html?Transportation	https://travel.state.gov/content/travel/en/international-travel/International-Travel-Country-Information-Pages/Japan.html	</v>
      <v xml:space="preserve">http://creativecommons.org/licenses/by-sa/3.0/			</v>
    </spb>
    <spb s="0">
      <v xml:space="preserve">Wikipedia	</v>
      <v xml:space="preserve">CC BY-SA 3.0	</v>
      <v xml:space="preserve">https://en.wikipedia.org/wiki/Japan	</v>
      <v xml:space="preserve">https://creativecommons.org/licenses/by-sa/3.0	</v>
    </spb>
    <spb s="0">
      <v xml:space="preserve">Wikipedia	</v>
      <v xml:space="preserve">CC-BY-SA	</v>
      <v xml:space="preserve">http://en.wikipedia.org/wiki/Japan	</v>
      <v xml:space="preserve">http://creativecommons.org/licenses/by-sa/3.0/	</v>
    </spb>
    <spb s="0">
      <v xml:space="preserve">Cia	</v>
      <v xml:space="preserve">	</v>
      <v xml:space="preserve">https://www.cia.gov/library/publications/the-world-factbook/geos/ja.html?Transportation	</v>
      <v xml:space="preserve">	</v>
    </spb>
    <spb s="1">
      <v>0</v>
      <v>34</v>
      <v>35</v>
      <v>35</v>
      <v>3</v>
      <v>35</v>
      <v>35</v>
      <v>35</v>
      <v>36</v>
      <v>35</v>
      <v>35</v>
      <v>36</v>
      <v>35</v>
      <v>35</v>
      <v>37</v>
      <v>6</v>
      <v>34</v>
      <v>37</v>
      <v>8</v>
      <v>35</v>
      <v>37</v>
      <v>9</v>
      <v>10</v>
      <v>11</v>
      <v>37</v>
      <v>37</v>
      <v>35</v>
      <v>37</v>
      <v>12</v>
      <v>13</v>
      <v>14</v>
      <v>15</v>
      <v>37</v>
      <v>34</v>
      <v>37</v>
      <v>37</v>
      <v>37</v>
      <v>37</v>
      <v>37</v>
      <v>37</v>
      <v>37</v>
      <v>37</v>
      <v>37</v>
      <v>37</v>
      <v>16</v>
    </spb>
    <spb s="8">
      <v>2019</v>
      <v>2019</v>
      <v>square km</v>
      <v>per thousand (2018)</v>
      <v>2021</v>
      <v>2019</v>
      <v>2018</v>
      <v>per liter (2016)</v>
      <v>2019</v>
      <v>years (2018)</v>
      <v>2018</v>
      <v>per thousand (2018)</v>
      <v>2019</v>
      <v>2017</v>
      <v>2016</v>
      <v>2019</v>
      <v>2016</v>
      <v>2016</v>
      <v>kilotons per year (2016)</v>
      <v>deaths per 100,000 (2017)</v>
      <v>kWh (2014)</v>
      <v>2015</v>
      <v>2019</v>
      <v>2013</v>
      <v>2013</v>
      <v>2013</v>
      <v>2013</v>
      <v>2013</v>
      <v>2015</v>
      <v>2013</v>
      <v>2013</v>
      <v>2015</v>
      <v>2015</v>
      <v>2019</v>
    </spb>
    <spb s="0">
      <v xml:space="preserve">Wikipedia	Cia	travel.state.gov	</v>
      <v xml:space="preserve">CC-BY-SA			</v>
      <v xml:space="preserve">http://en.wikipedia.org/wiki/Russia	https://www.cia.gov/library/publications/the-world-factbook/geos/rs.html?Transportation	https://travel.state.gov/content/travel/en/international-travel/International-Travel-Country-Information-Pages/RussianFederation.html	</v>
      <v xml:space="preserve">http://creativecommons.org/licenses/by-sa/3.0/			</v>
    </spb>
    <spb s="0">
      <v xml:space="preserve">Wikipedia	</v>
      <v xml:space="preserve">CC BY-SA 3.0	</v>
      <v xml:space="preserve">https://en.wikipedia.org/wiki/Russia	</v>
      <v xml:space="preserve">https://creativecommons.org/licenses/by-sa/3.0	</v>
    </spb>
    <spb s="0">
      <v xml:space="preserve">Wikipedia	</v>
      <v xml:space="preserve">CC-BY-SA	</v>
      <v xml:space="preserve">http://en.wikipedia.org/wiki/Russia	</v>
      <v xml:space="preserve">http://creativecommons.org/licenses/by-sa/3.0/	</v>
    </spb>
    <spb s="0">
      <v xml:space="preserve">Cia	</v>
      <v xml:space="preserve">	</v>
      <v xml:space="preserve">https://www.cia.gov/library/publications/the-world-factbook/geos/rs.html?Transportation	</v>
      <v xml:space="preserve">	</v>
    </spb>
    <spb s="1">
      <v>0</v>
      <v>40</v>
      <v>41</v>
      <v>41</v>
      <v>3</v>
      <v>41</v>
      <v>41</v>
      <v>41</v>
      <v>42</v>
      <v>41</v>
      <v>41</v>
      <v>42</v>
      <v>41</v>
      <v>41</v>
      <v>43</v>
      <v>6</v>
      <v>40</v>
      <v>43</v>
      <v>8</v>
      <v>41</v>
      <v>43</v>
      <v>9</v>
      <v>10</v>
      <v>11</v>
      <v>43</v>
      <v>43</v>
      <v>41</v>
      <v>43</v>
      <v>12</v>
      <v>13</v>
      <v>14</v>
      <v>15</v>
      <v>43</v>
      <v>40</v>
      <v>43</v>
      <v>43</v>
      <v>43</v>
      <v>43</v>
      <v>43</v>
      <v>43</v>
      <v>43</v>
      <v>43</v>
      <v>43</v>
      <v>43</v>
      <v>16</v>
    </spb>
    <spb s="8">
      <v>2019</v>
      <v>2019</v>
      <v>square km</v>
      <v>per thousand (2018)</v>
      <v>2021</v>
      <v>2019</v>
      <v>2018</v>
      <v>per liter (2016)</v>
      <v>2019</v>
      <v>years (2018)</v>
      <v>2018</v>
      <v>per thousand (2018)</v>
      <v>2019</v>
      <v>2017</v>
      <v>2016</v>
      <v>2019</v>
      <v>2016</v>
      <v>2016</v>
      <v>kilotons per year (2016)</v>
      <v>deaths per 100,000 (2017)</v>
      <v>kWh (2014)</v>
      <v>2014</v>
      <v>2018</v>
      <v>2018</v>
      <v>2018</v>
      <v>2018</v>
      <v>2018</v>
      <v>2018</v>
      <v>2015</v>
      <v>2018</v>
      <v>2018</v>
      <v>2017</v>
      <v>2017</v>
      <v>2019</v>
    </spb>
    <spb s="0">
      <v xml:space="preserve">Wikipedia	Cia	</v>
      <v xml:space="preserve">CC-BY-SA		</v>
      <v xml:space="preserve">http://en.wikipedia.org/wiki/Mongolia	https://www.cia.gov/library/publications/the-world-factbook/geos/mg.html?Transportation	</v>
      <v xml:space="preserve">http://creativecommons.org/licenses/by-sa/3.0/		</v>
    </spb>
    <spb s="0">
      <v xml:space="preserve">Wikipedia	</v>
      <v xml:space="preserve">CC BY-SA 3.0	</v>
      <v xml:space="preserve">https://en.wikipedia.org/wiki/Mongolia	</v>
      <v xml:space="preserve">https://creativecommons.org/licenses/by-sa/3.0	</v>
    </spb>
    <spb s="0">
      <v xml:space="preserve">Wikipedia	</v>
      <v xml:space="preserve">CC-BY-SA	</v>
      <v xml:space="preserve">http://en.wikipedia.org/wiki/Mongolia	</v>
      <v xml:space="preserve">http://creativecommons.org/licenses/by-sa/3.0/	</v>
    </spb>
    <spb s="0">
      <v xml:space="preserve">Cia	</v>
      <v xml:space="preserve">	</v>
      <v xml:space="preserve">https://www.cia.gov/library/publications/the-world-factbook/geos/mg.html?Transportation	</v>
      <v xml:space="preserve">	</v>
    </spb>
    <spb s="10">
      <v>0</v>
      <v>46</v>
      <v>47</v>
      <v>47</v>
      <v>3</v>
      <v>47</v>
      <v>47</v>
      <v>47</v>
      <v>48</v>
      <v>47</v>
      <v>47</v>
      <v>48</v>
      <v>47</v>
      <v>47</v>
      <v>49</v>
      <v>6</v>
      <v>46</v>
      <v>49</v>
      <v>8</v>
      <v>47</v>
      <v>49</v>
      <v>9</v>
      <v>10</v>
      <v>11</v>
      <v>49</v>
      <v>49</v>
      <v>47</v>
      <v>49</v>
      <v>12</v>
      <v>13</v>
      <v>14</v>
      <v>15</v>
      <v>49</v>
      <v>49</v>
      <v>49</v>
      <v>49</v>
      <v>49</v>
      <v>49</v>
      <v>49</v>
      <v>49</v>
      <v>49</v>
      <v>49</v>
      <v>49</v>
      <v>16</v>
    </spb>
    <spb s="2">
      <v>1</v>
      <v>Name</v>
      <v>LearnMoreOnLink</v>
    </spb>
    <spb s="11">
      <v>2019</v>
      <v>2019</v>
      <v>square km</v>
      <v>per thousand (2018)</v>
      <v>2021</v>
      <v>2019</v>
      <v>2018</v>
      <v>per liter (2016)</v>
      <v>2019</v>
      <v>years (2018)</v>
      <v>2018</v>
      <v>per thousand (2018)</v>
      <v>2019</v>
      <v>2017</v>
      <v>2016</v>
      <v>2019</v>
      <v>2016</v>
      <v>2016</v>
      <v>kilotons per year (2016)</v>
      <v>deaths per 100,000 (2017)</v>
      <v>kWh (2014)</v>
      <v>2014</v>
      <v>2018</v>
      <v>2018</v>
      <v>2018</v>
      <v>2018</v>
      <v>2018</v>
      <v>2015</v>
      <v>2018</v>
      <v>2018</v>
      <v>2018</v>
      <v>2018</v>
      <v>2019</v>
    </spb>
    <spb s="0">
      <v xml:space="preserve">Wikipedia	Cia	travel.state.gov	</v>
      <v xml:space="preserve">CC-BY-SA			</v>
      <v xml:space="preserve">http://en.wikipedia.org/wiki/Thailand	https://www.cia.gov/library/publications/the-world-factbook/geos/th.html?Transportation	https://travel.state.gov/content/travel/en/international-travel/International-Travel-Country-Information-Pages/Thailand.html	</v>
      <v xml:space="preserve">http://creativecommons.org/licenses/by-sa/3.0/			</v>
    </spb>
    <spb s="0">
      <v xml:space="preserve">Wikipedia	</v>
      <v xml:space="preserve">CC BY-SA 3.0	</v>
      <v xml:space="preserve">https://en.wikipedia.org/wiki/Thailand	</v>
      <v xml:space="preserve">https://creativecommons.org/licenses/by-sa/3.0	</v>
    </spb>
    <spb s="0">
      <v xml:space="preserve">Wikipedia	</v>
      <v xml:space="preserve">CC-BY-SA	</v>
      <v xml:space="preserve">http://en.wikipedia.org/wiki/Thailand	</v>
      <v xml:space="preserve">http://creativecommons.org/licenses/by-sa/3.0/	</v>
    </spb>
    <spb s="0">
      <v xml:space="preserve">Cia	</v>
      <v xml:space="preserve">	</v>
      <v xml:space="preserve">https://www.cia.gov/library/publications/the-world-factbook/geos/th.html?Transportation	</v>
      <v xml:space="preserve">	</v>
    </spb>
    <spb s="1">
      <v>0</v>
      <v>53</v>
      <v>54</v>
      <v>54</v>
      <v>3</v>
      <v>54</v>
      <v>54</v>
      <v>54</v>
      <v>55</v>
      <v>54</v>
      <v>54</v>
      <v>55</v>
      <v>54</v>
      <v>54</v>
      <v>56</v>
      <v>6</v>
      <v>53</v>
      <v>56</v>
      <v>8</v>
      <v>54</v>
      <v>56</v>
      <v>9</v>
      <v>10</v>
      <v>11</v>
      <v>56</v>
      <v>56</v>
      <v>54</v>
      <v>56</v>
      <v>12</v>
      <v>13</v>
      <v>14</v>
      <v>15</v>
      <v>56</v>
      <v>53</v>
      <v>56</v>
      <v>56</v>
      <v>56</v>
      <v>56</v>
      <v>56</v>
      <v>56</v>
      <v>56</v>
      <v>56</v>
      <v>56</v>
      <v>56</v>
      <v>16</v>
    </spb>
    <spb s="8">
      <v>2019</v>
      <v>2019</v>
      <v>square km</v>
      <v>per thousand (2018)</v>
      <v>2021</v>
      <v>2019</v>
      <v>2018</v>
      <v>per liter (2016)</v>
      <v>2019</v>
      <v>years (2018)</v>
      <v>2018</v>
      <v>per thousand (2018)</v>
      <v>2019</v>
      <v>2017</v>
      <v>2016</v>
      <v>2019</v>
      <v>2016</v>
      <v>2018</v>
      <v>kilotons per year (2016)</v>
      <v>deaths per 100,000 (2017)</v>
      <v>kWh (2014)</v>
      <v>2014</v>
      <v>2019</v>
      <v>2018</v>
      <v>2018</v>
      <v>2018</v>
      <v>2018</v>
      <v>2018</v>
      <v>2015</v>
      <v>2018</v>
      <v>2018</v>
      <v>2018</v>
      <v>2016</v>
      <v>2019</v>
    </spb>
    <spb s="0">
      <v xml:space="preserve">Wikipedia	Cia	travel.state.gov	</v>
      <v xml:space="preserve">CC-BY-SA			</v>
      <v xml:space="preserve">http://en.wikipedia.org/wiki/Georgia_(country)	https://www.cia.gov/library/publications/the-world-factbook/geos/gg.html?Transportation	https://travel.state.gov/content/travel/en/international-travel/International-Travel-Country-Information-Pages/Georgia.html	</v>
      <v xml:space="preserve">http://creativecommons.org/licenses/by-sa/3.0/			</v>
    </spb>
    <spb s="0">
      <v xml:space="preserve">Wikipedia	</v>
      <v xml:space="preserve">CC BY-SA 3.0	</v>
      <v xml:space="preserve">https://en.wikipedia.org/wiki/Georgia_(country)	</v>
      <v xml:space="preserve">https://creativecommons.org/licenses/by-sa/3.0	</v>
    </spb>
    <spb s="0">
      <v xml:space="preserve">Wikipedia	</v>
      <v xml:space="preserve">CC-BY-SA	</v>
      <v xml:space="preserve">http://en.wikipedia.org/wiki/Georgia_(country)	</v>
      <v xml:space="preserve">http://creativecommons.org/licenses/by-sa/3.0/	</v>
    </spb>
    <spb s="0">
      <v xml:space="preserve">Cia	</v>
      <v xml:space="preserve">	</v>
      <v xml:space="preserve">https://www.cia.gov/library/publications/the-world-factbook/geos/gg.html?Transportation	</v>
      <v xml:space="preserve">	</v>
    </spb>
    <spb s="10">
      <v>0</v>
      <v>59</v>
      <v>60</v>
      <v>60</v>
      <v>3</v>
      <v>60</v>
      <v>60</v>
      <v>60</v>
      <v>61</v>
      <v>60</v>
      <v>60</v>
      <v>61</v>
      <v>60</v>
      <v>60</v>
      <v>62</v>
      <v>6</v>
      <v>59</v>
      <v>62</v>
      <v>8</v>
      <v>60</v>
      <v>62</v>
      <v>9</v>
      <v>10</v>
      <v>11</v>
      <v>62</v>
      <v>62</v>
      <v>60</v>
      <v>62</v>
      <v>12</v>
      <v>13</v>
      <v>14</v>
      <v>15</v>
      <v>62</v>
      <v>62</v>
      <v>62</v>
      <v>62</v>
      <v>62</v>
      <v>62</v>
      <v>62</v>
      <v>62</v>
      <v>62</v>
      <v>62</v>
      <v>62</v>
      <v>16</v>
    </spb>
    <spb s="11">
      <v>2019</v>
      <v>2019</v>
      <v>square km</v>
      <v>per thousand (2018)</v>
      <v>2021</v>
      <v>2019</v>
      <v>2018</v>
      <v>per liter (2016)</v>
      <v>2019</v>
      <v>years (2018)</v>
      <v>2018</v>
      <v>per thousand (2018)</v>
      <v>2019</v>
      <v>2017</v>
      <v>2016</v>
      <v>2019</v>
      <v>2016</v>
      <v>2018</v>
      <v>kilotons per year (2016)</v>
      <v>deaths per 100,000 (2017)</v>
      <v>kWh (2014)</v>
      <v>2014</v>
      <v>2018</v>
      <v>2018</v>
      <v>2018</v>
      <v>2018</v>
      <v>2018</v>
      <v>2015</v>
      <v>2018</v>
      <v>2018</v>
      <v>2018</v>
      <v>2019</v>
      <v>2019</v>
    </spb>
    <spb s="0">
      <v xml:space="preserve">Wikipedia	Cia	travel.state.gov	</v>
      <v xml:space="preserve">CC-BY-SA			</v>
      <v xml:space="preserve">http://en.wikipedia.org/wiki/Jordan	https://www.cia.gov/library/publications/the-world-factbook/geos/jo.html?Transportation	https://travel.state.gov/content/travel/en/international-travel/International-Travel-Country-Information-Pages/Jordan.html	</v>
      <v xml:space="preserve">http://creativecommons.org/licenses/by-sa/3.0/			</v>
    </spb>
    <spb s="0">
      <v xml:space="preserve">Wikipedia	</v>
      <v xml:space="preserve">CC BY-SA 3.0	</v>
      <v xml:space="preserve">https://en.wikipedia.org/wiki/Jordan	</v>
      <v xml:space="preserve">https://creativecommons.org/licenses/by-sa/3.0	</v>
    </spb>
    <spb s="0">
      <v xml:space="preserve">Wikipedia	</v>
      <v xml:space="preserve">CC-BY-SA	</v>
      <v xml:space="preserve">http://en.wikipedia.org/wiki/Jordan	</v>
      <v xml:space="preserve">http://creativecommons.org/licenses/by-sa/3.0/	</v>
    </spb>
    <spb s="0">
      <v xml:space="preserve">Cia	</v>
      <v xml:space="preserve">	</v>
      <v xml:space="preserve">https://www.cia.gov/library/publications/the-world-factbook/geos/jo.html?Transportation	</v>
      <v xml:space="preserve">	</v>
    </spb>
    <spb s="1">
      <v>0</v>
      <v>65</v>
      <v>66</v>
      <v>66</v>
      <v>3</v>
      <v>66</v>
      <v>66</v>
      <v>66</v>
      <v>67</v>
      <v>66</v>
      <v>66</v>
      <v>67</v>
      <v>66</v>
      <v>66</v>
      <v>68</v>
      <v>6</v>
      <v>65</v>
      <v>68</v>
      <v>8</v>
      <v>66</v>
      <v>68</v>
      <v>9</v>
      <v>10</v>
      <v>11</v>
      <v>68</v>
      <v>68</v>
      <v>66</v>
      <v>68</v>
      <v>12</v>
      <v>13</v>
      <v>14</v>
      <v>15</v>
      <v>68</v>
      <v>65</v>
      <v>68</v>
      <v>68</v>
      <v>68</v>
      <v>68</v>
      <v>68</v>
      <v>68</v>
      <v>68</v>
      <v>68</v>
      <v>68</v>
      <v>68</v>
      <v>16</v>
    </spb>
    <spb s="8">
      <v>2019</v>
      <v>2019</v>
      <v>square km</v>
      <v>per thousand (2018)</v>
      <v>2021</v>
      <v>2019</v>
      <v>2018</v>
      <v>per liter (2016)</v>
      <v>2019</v>
      <v>years (2018)</v>
      <v>2018</v>
      <v>per thousand (2018)</v>
      <v>2019</v>
      <v>2017</v>
      <v>2016</v>
      <v>2019</v>
      <v>2016</v>
      <v>2017</v>
      <v>kilotons per year (2016)</v>
      <v>deaths per 100,000 (2017)</v>
      <v>kWh (2014)</v>
      <v>2014</v>
      <v>2019</v>
      <v>2010</v>
      <v>2010</v>
      <v>2010</v>
      <v>2010</v>
      <v>2010</v>
      <v>2015</v>
      <v>2010</v>
      <v>2010</v>
      <v>2018</v>
      <v>2018</v>
      <v>2019</v>
    </spb>
    <spb s="0">
      <v xml:space="preserve">Wikipedia	travel.state.gov	</v>
      <v xml:space="preserve">CC-BY-SA		</v>
      <v xml:space="preserve">http://en.wikipedia.org/wiki/China	https://travel.state.gov/content/travel/en/international-travel/International-Travel-Country-Information-Pages/China.html	</v>
      <v xml:space="preserve">http://creativecommons.org/licenses/by-sa/3.0/		</v>
    </spb>
    <spb s="0">
      <v xml:space="preserve">Wikipedia	</v>
      <v xml:space="preserve">CC BY-SA 3.0	</v>
      <v xml:space="preserve">https://en.wikipedia.org/wiki/China	</v>
      <v xml:space="preserve">https://creativecommons.org/licenses/by-sa/3.0	</v>
    </spb>
    <spb s="0">
      <v xml:space="preserve">Wikipedia	</v>
      <v xml:space="preserve">CC-BY-SA	</v>
      <v xml:space="preserve">http://en.wikipedia.org/wiki/China	</v>
      <v xml:space="preserve">http://creativecommons.org/licenses/by-sa/3.0/	</v>
    </spb>
    <spb s="0">
      <v xml:space="preserve">Cia	</v>
      <v xml:space="preserve">	</v>
      <v xml:space="preserve">https://www.cia.gov/library/publications/the-world-factbook/geos/ch.html?Transportation	</v>
      <v xml:space="preserve">	</v>
    </spb>
    <spb s="0">
      <v xml:space="preserve">Wikipedia	Cia	travel.state.gov	</v>
      <v xml:space="preserve">CC-BY-SA			</v>
      <v xml:space="preserve">http://en.wikipedia.org/wiki/China	https://www.cia.gov/library/publications/the-world-factbook/geos/ch.html?Transportation	https://travel.state.gov/content/travel/en/international-travel/International-Travel-Country-Information-Pages/China.html	</v>
      <v xml:space="preserve">http://creativecommons.org/licenses/by-sa/3.0/			</v>
    </spb>
    <spb s="12">
      <v>0</v>
      <v>71</v>
      <v>72</v>
      <v>72</v>
      <v>3</v>
      <v>72</v>
      <v>72</v>
      <v>72</v>
      <v>73</v>
      <v>72</v>
      <v>72</v>
      <v>73</v>
      <v>72</v>
      <v>72</v>
      <v>74</v>
      <v>6</v>
      <v>75</v>
      <v>74</v>
      <v>72</v>
      <v>74</v>
      <v>9</v>
      <v>10</v>
      <v>11</v>
      <v>74</v>
      <v>74</v>
      <v>72</v>
      <v>74</v>
      <v>12</v>
      <v>13</v>
      <v>14</v>
      <v>15</v>
      <v>74</v>
      <v>75</v>
      <v>74</v>
      <v>74</v>
      <v>74</v>
      <v>74</v>
      <v>74</v>
      <v>74</v>
      <v>74</v>
      <v>74</v>
      <v>74</v>
      <v>74</v>
      <v>16</v>
    </spb>
    <spb s="8">
      <v>2019</v>
      <v>2022</v>
      <v>square km</v>
      <v>per thousand (2018)</v>
      <v>2021</v>
      <v>2019</v>
      <v>2018</v>
      <v>per liter (2016)</v>
      <v>2019</v>
      <v>years (2020)</v>
      <v>2017</v>
      <v>per thousand (2018)</v>
      <v>2019</v>
      <v>2017</v>
      <v>2016</v>
      <v>2019</v>
      <v>2016</v>
      <v>2017</v>
      <v>kilotons per year (2016)</v>
      <v>deaths per 100,000 (2017)</v>
      <v>kWh (2014)</v>
      <v>2014</v>
      <v>2019</v>
      <v>2016</v>
      <v>2016</v>
      <v>2016</v>
      <v>2016</v>
      <v>2016</v>
      <v>2015</v>
      <v>2016</v>
      <v>2016</v>
      <v>2018</v>
      <v>2018</v>
      <v>2019</v>
    </spb>
    <spb s="0">
      <v xml:space="preserve">Wikipedia	Cia	travel.state.gov	</v>
      <v xml:space="preserve">CC-BY-SA			</v>
      <v xml:space="preserve">http://en.wikipedia.org/wiki/United_Arab_Emirates	https://www.cia.gov/library/publications/the-world-factbook/geos/ae.html?Transportation	https://travel.state.gov/content/travel/en/international-travel/International-Travel-Country-Information-Pages/UnitedArabEmirates.html	</v>
      <v xml:space="preserve">http://creativecommons.org/licenses/by-sa/3.0/			</v>
    </spb>
    <spb s="0">
      <v xml:space="preserve">Wikipedia	</v>
      <v xml:space="preserve">CC BY-SA 3.0	</v>
      <v xml:space="preserve">https://en.wikipedia.org/wiki/United_Arab_Emirates	</v>
      <v xml:space="preserve">https://creativecommons.org/licenses/by-sa/3.0	</v>
    </spb>
    <spb s="0">
      <v xml:space="preserve">Wikipedia	</v>
      <v xml:space="preserve">CC-BY-SA	</v>
      <v xml:space="preserve">http://en.wikipedia.org/wiki/United_Arab_Emirates	</v>
      <v xml:space="preserve">http://creativecommons.org/licenses/by-sa/3.0/	</v>
    </spb>
    <spb s="0">
      <v xml:space="preserve">Cia	</v>
      <v xml:space="preserve">	</v>
      <v xml:space="preserve">https://www.cia.gov/library/publications/the-world-factbook/geos/ae.html?Transportation	</v>
      <v xml:space="preserve">	</v>
    </spb>
    <spb s="13">
      <v>0</v>
      <v>78</v>
      <v>79</v>
      <v>79</v>
      <v>3</v>
      <v>79</v>
      <v>79</v>
      <v>79</v>
      <v>80</v>
      <v>79</v>
      <v>79</v>
      <v>79</v>
      <v>79</v>
      <v>81</v>
      <v>6</v>
      <v>78</v>
      <v>81</v>
      <v>8</v>
      <v>79</v>
      <v>81</v>
      <v>9</v>
      <v>10</v>
      <v>11</v>
      <v>81</v>
      <v>81</v>
      <v>79</v>
      <v>81</v>
      <v>12</v>
      <v>13</v>
      <v>14</v>
      <v>15</v>
      <v>81</v>
      <v>78</v>
      <v>81</v>
      <v>81</v>
      <v>81</v>
      <v>81</v>
      <v>81</v>
      <v>81</v>
      <v>81</v>
      <v>81</v>
      <v>81</v>
      <v>81</v>
      <v>16</v>
    </spb>
    <spb s="2">
      <v>2</v>
      <v>Name</v>
      <v>LearnMoreOnLink</v>
    </spb>
    <spb s="8">
      <v>2019</v>
      <v>2019</v>
      <v>square km</v>
      <v>per thousand (2018)</v>
      <v>2020</v>
      <v>2019</v>
      <v>2018</v>
      <v>per liter (2016)</v>
      <v>2019</v>
      <v>years (2018)</v>
      <v>2018</v>
      <v>per thousand (2018)</v>
      <v>2019</v>
      <v>2017</v>
      <v>2016</v>
      <v>2019</v>
      <v>2016</v>
      <v>2018</v>
      <v>kilotons per year (2016)</v>
      <v>deaths per 100,000 (2017)</v>
      <v>kWh (2014)</v>
      <v>2014</v>
      <v>2019</v>
      <v>2014</v>
      <v>2014</v>
      <v>2014</v>
      <v>2014</v>
      <v>2014</v>
      <v>2015</v>
      <v>2014</v>
      <v>2014</v>
      <v>2017</v>
      <v>2016</v>
      <v>2019</v>
    </spb>
    <spb s="0">
      <v xml:space="preserve">Wikipedia	Cia	travel.state.gov	</v>
      <v xml:space="preserve">CC-BY-SA			</v>
      <v xml:space="preserve">http://en.wikipedia.org/wiki/Vietnam	https://www.cia.gov/library/publications/the-world-factbook/geos/vm.html?Transportation	https://travel.state.gov/content/travel/en/international-travel/International-Travel-Country-Information-Pages/Vietnam.html	</v>
      <v xml:space="preserve">http://creativecommons.org/licenses/by-sa/3.0/			</v>
    </spb>
    <spb s="0">
      <v xml:space="preserve">Wikipedia	</v>
      <v xml:space="preserve">CC BY-SA 3.0	</v>
      <v xml:space="preserve">https://en.wikipedia.org/wiki/Vietnam	</v>
      <v xml:space="preserve">https://creativecommons.org/licenses/by-sa/3.0	</v>
    </spb>
    <spb s="0">
      <v xml:space="preserve">Wikipedia	</v>
      <v xml:space="preserve">CC-BY-SA	</v>
      <v xml:space="preserve">http://en.wikipedia.org/wiki/Vietnam	</v>
      <v xml:space="preserve">http://creativecommons.org/licenses/by-sa/3.0/	</v>
    </spb>
    <spb s="0">
      <v xml:space="preserve">Cia	</v>
      <v xml:space="preserve">	</v>
      <v xml:space="preserve">https://www.cia.gov/library/publications/the-world-factbook/geos/vm.html?Transportation	</v>
      <v xml:space="preserve">	</v>
    </spb>
    <spb s="1">
      <v>0</v>
      <v>85</v>
      <v>86</v>
      <v>86</v>
      <v>3</v>
      <v>86</v>
      <v>86</v>
      <v>86</v>
      <v>87</v>
      <v>86</v>
      <v>86</v>
      <v>87</v>
      <v>86</v>
      <v>86</v>
      <v>88</v>
      <v>6</v>
      <v>85</v>
      <v>88</v>
      <v>8</v>
      <v>86</v>
      <v>88</v>
      <v>9</v>
      <v>10</v>
      <v>11</v>
      <v>88</v>
      <v>88</v>
      <v>86</v>
      <v>88</v>
      <v>12</v>
      <v>13</v>
      <v>14</v>
      <v>15</v>
      <v>88</v>
      <v>85</v>
      <v>88</v>
      <v>88</v>
      <v>88</v>
      <v>88</v>
      <v>88</v>
      <v>88</v>
      <v>88</v>
      <v>88</v>
      <v>88</v>
      <v>88</v>
      <v>16</v>
    </spb>
    <spb s="8">
      <v>2019</v>
      <v>2019</v>
      <v>square km</v>
      <v>per thousand (2018)</v>
      <v>2019</v>
      <v>2019</v>
      <v>2018</v>
      <v>per liter (2016)</v>
      <v>2019</v>
      <v>years (2018)</v>
      <v>2013</v>
      <v>per thousand (2018)</v>
      <v>2019</v>
      <v>2017</v>
      <v>2016</v>
      <v>2019</v>
      <v>2016</v>
      <v>2016</v>
      <v>kilotons per year (2016)</v>
      <v>deaths per 100,000 (2017)</v>
      <v>kWh (2014)</v>
      <v>2013</v>
      <v>2019</v>
      <v>2018</v>
      <v>2018</v>
      <v>2018</v>
      <v>2018</v>
      <v>2018</v>
      <v>2015</v>
      <v>2018</v>
      <v>2018</v>
      <v>2018</v>
      <v>2016</v>
      <v>2019</v>
    </spb>
    <spb s="0">
      <v xml:space="preserve">Wikipedia	Wikipedia	Cia	travel.state.gov	</v>
      <v xml:space="preserve">CC-BY-SA	CC-BY-SA			</v>
      <v xml:space="preserve">http://es.wikipedia.org/wiki/Italia	http://en.wikipedia.org/wiki/Italy	https://www.cia.gov/library/publications/the-world-factbook/geos/it.html?Transportation	https://travel.state.gov/content/travel/en/international-travel/International-Travel-Country-Information-Pages/SanMarino.html	</v>
      <v xml:space="preserve">http://creativecommons.org/licenses/by-sa/3.0/	http://creativecommons.org/licenses/by-sa/3.0/			</v>
    </spb>
    <spb s="0">
      <v xml:space="preserve">Wikipedia	</v>
      <v xml:space="preserve">CC BY-SA 3.0	</v>
      <v xml:space="preserve">https://en.wikipedia.org/wiki/Italy	</v>
      <v xml:space="preserve">https://creativecommons.org/licenses/by-sa/3.0	</v>
    </spb>
    <spb s="0">
      <v xml:space="preserve">Wikipedia	</v>
      <v xml:space="preserve">CC-BY-SA	</v>
      <v xml:space="preserve">http://en.wikipedia.org/wiki/Italy	</v>
      <v xml:space="preserve">http://creativecommons.org/licenses/by-sa/3.0/	</v>
    </spb>
    <spb s="0">
      <v xml:space="preserve">Cia	</v>
      <v xml:space="preserve">	</v>
      <v xml:space="preserve">https://www.cia.gov/library/publications/the-world-factbook/geos/it.html?Transportation	</v>
      <v xml:space="preserve">	</v>
    </spb>
    <spb s="13">
      <v>0</v>
      <v>91</v>
      <v>92</v>
      <v>92</v>
      <v>3</v>
      <v>92</v>
      <v>92</v>
      <v>92</v>
      <v>93</v>
      <v>92</v>
      <v>92</v>
      <v>92</v>
      <v>92</v>
      <v>94</v>
      <v>6</v>
      <v>91</v>
      <v>94</v>
      <v>8</v>
      <v>92</v>
      <v>94</v>
      <v>9</v>
      <v>10</v>
      <v>11</v>
      <v>94</v>
      <v>94</v>
      <v>92</v>
      <v>94</v>
      <v>12</v>
      <v>13</v>
      <v>14</v>
      <v>15</v>
      <v>94</v>
      <v>91</v>
      <v>94</v>
      <v>94</v>
      <v>94</v>
      <v>94</v>
      <v>94</v>
      <v>94</v>
      <v>94</v>
      <v>94</v>
      <v>94</v>
      <v>94</v>
      <v>16</v>
    </spb>
    <spb s="8">
      <v>2019</v>
      <v>2019</v>
      <v>square km</v>
      <v>per thousand (2018)</v>
      <v>2021</v>
      <v>2019</v>
      <v>2018</v>
      <v>per liter (2016)</v>
      <v>2019</v>
      <v>years (2018)</v>
      <v>2018</v>
      <v>per thousand (2018)</v>
      <v>2019</v>
      <v>2017</v>
      <v>2016</v>
      <v>2019</v>
      <v>2016</v>
      <v>2018</v>
      <v>kilotons per year (2014)</v>
      <v>deaths per 100,000 (2017)</v>
      <v>kWh (2014)</v>
      <v>2015</v>
      <v>2008</v>
      <v>2017</v>
      <v>2017</v>
      <v>2017</v>
      <v>2017</v>
      <v>2017</v>
      <v>2015</v>
      <v>2017</v>
      <v>2017</v>
      <v>2017</v>
      <v>2017</v>
      <v>2019</v>
    </spb>
  </spbData>
</supportingPropertyBags>
</file>

<file path=xl/richData/rdsupportingpropertybagstructure.xml><?xml version="1.0" encoding="utf-8"?>
<spbStructures xmlns="http://schemas.microsoft.com/office/spreadsheetml/2017/richdata2" count="14">
  <s>
    <k n="SourceText" t="s"/>
    <k n="LicenseText" t="s"/>
    <k n="SourceAddress" t="s"/>
    <k n="LicenseAddress" t="s"/>
  </s>
  <s>
    <k n="CPI" t="spb"/>
    <k n="GDP" t="spb"/>
    <k n="Area" t="spb"/>
    <k n="Name" t="spb"/>
    <k n="Birth rate" t="spb"/>
    <k n="Population" t="spb"/>
    <k n="UniqueName" t="spb"/>
    <k n="Description" t="spb"/>
    <k n="Abbreviation" t="spb"/>
    <k n="Calling code" t="spb"/>
    <k n="Largest city" t="spb"/>
    <k n="Minimum wage"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Order" t="spba"/>
    <k n="TitleProperty" t="s"/>
    <k n="SubTitleProperty" t="s"/>
  </s>
  <s>
    <k n="ShowInCardView" t="b"/>
    <k n="ShowInDotNotation" t="b"/>
    <k n="ShowInAutoComplete" t="b"/>
  </s>
  <s>
    <k n="ShowInDotNotation" t="b"/>
    <k n="ShowInAutoComplete" t="b"/>
  </s>
  <s>
    <k n="UniqueName" t="spb"/>
    <k n="VDPID/VSID" t="spb"/>
    <k n="Description" t="spb"/>
    <k n="LearnMoreOnLink" t="spb"/>
  </s>
  <s>
    <k n="Name" t="i"/>
    <k n="Image" t="i"/>
    <k n="Description" t="i"/>
  </s>
  <s>
    <k n="link" t="s"/>
    <k n="logo" t="s"/>
    <k n="name" t="s"/>
  </s>
  <s>
    <k n="CPI" t="s"/>
    <k n="GDP" t="s"/>
    <k n="Area" t="s"/>
    <k n="Birth rate" t="s"/>
    <k n="Population" t="s"/>
    <k n="CPI Change (%)" t="s"/>
    <k n="Fertility rate" t="s"/>
    <k n="Gasoline price" t="s"/>
    <k n="Total tax rate" t="s"/>
    <k n="Life expectancy" t="s"/>
    <k n="Tax revenue (%)" t="s"/>
    <k n="Infant mortality" t="s"/>
    <k n="Urban population" t="s"/>
    <k n="Armed forces size" t="s"/>
    <k n="Forested area (%)" t="s"/>
    <k n="Unemployment rate" t="s"/>
    <k n="Agricultural land (%)" t="s"/>
    <k n="Physicians per thousand" t="s"/>
    <k n="Carbon dioxide emissions" t="s"/>
    <k n="Maternal mortality ratio" t="s"/>
    <k n="Electric power consumption" t="s"/>
    <k n="Fossil fuel energy consumption" t="s"/>
    <k n="Market cap of listed companies"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Gross tertiary education enrollment (%)" t="s"/>
    <k n="Population: Labor force participation (%)" t="s"/>
  </s>
  <s>
    <k n="_Self" t="i"/>
  </s>
  <s>
    <k n="CPI" t="spb"/>
    <k n="GDP" t="spb"/>
    <k n="Area" t="spb"/>
    <k n="Name" t="spb"/>
    <k n="Birth rate" t="spb"/>
    <k n="Population" t="spb"/>
    <k n="UniqueName" t="spb"/>
    <k n="Description" t="spb"/>
    <k n="Abbreviation" t="spb"/>
    <k n="Calling code" t="spb"/>
    <k n="Largest city" t="spb"/>
    <k n="Minimum wage"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
    <k n="GDP" t="s"/>
    <k n="Area" t="s"/>
    <k n="Birth rate" t="s"/>
    <k n="Population" t="s"/>
    <k n="CPI Change (%)" t="s"/>
    <k n="Fertility rate" t="s"/>
    <k n="Gasoline price" t="s"/>
    <k n="Total tax rate" t="s"/>
    <k n="Life expectancy" t="s"/>
    <k n="Tax revenue (%)" t="s"/>
    <k n="Infant mortality" t="s"/>
    <k n="Urban population" t="s"/>
    <k n="Armed forces size" t="s"/>
    <k n="Forested area (%)" t="s"/>
    <k n="Unemployment rate" t="s"/>
    <k n="Agricultural land (%)" t="s"/>
    <k n="Physicians per thousand" t="s"/>
    <k n="Carbon dioxide emissions" t="s"/>
    <k n="Maternal mortality ratio" t="s"/>
    <k n="Electric power consumption" t="s"/>
    <k n="Fossil fuel energy consumption"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Gross tertiary education enrollment (%)" t="s"/>
    <k n="Population: Labor force participation (%)" t="s"/>
  </s>
  <s>
    <k n="CPI" t="spb"/>
    <k n="GDP" t="spb"/>
    <k n="Area" t="spb"/>
    <k n="Name" t="spb"/>
    <k n="Birth rate" t="spb"/>
    <k n="Population" t="spb"/>
    <k n="UniqueName" t="spb"/>
    <k n="Description" t="spb"/>
    <k n="Abbreviation" t="spb"/>
    <k n="Calling code" t="spb"/>
    <k n="Largest city" t="spb"/>
    <k n="Minimum wage" t="spb"/>
    <k n="Currency code" t="spb"/>
    <k n="Official name" t="spb"/>
    <k n="CPI Change (%)" t="spb"/>
    <k n="Fertility rate" t="spb"/>
    <k n="Gasoline price" t="spb"/>
    <k n="Total tax rate"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Birth rate" t="spb"/>
    <k n="Population" t="spb"/>
    <k n="UniqueName" t="spb"/>
    <k n="Description" t="spb"/>
    <k n="Abbreviation" t="spb"/>
    <k n="Calling code" t="spb"/>
    <k n="Largest city"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6">
    <x:dxf>
      <x:numFmt numFmtId="3" formatCode="#,##0"/>
    </x:dxf>
    <x:dxf>
      <x:numFmt numFmtId="0" formatCode="General"/>
    </x:dxf>
    <x:dxf>
      <x:numFmt numFmtId="2" formatCode="0.00"/>
    </x:dxf>
    <x:dxf>
      <x:numFmt numFmtId="14" formatCode="0.00%"/>
    </x:dxf>
    <x:dxf>
      <x:numFmt numFmtId="4" formatCode="#,##0.00"/>
    </x:dxf>
    <x:dxf>
      <x:numFmt numFmtId="1" formatCode="0"/>
    </x:dxf>
  </dxfs>
  <richProperties>
    <rPr n="IsTitleField" t="b"/>
    <rPr n="IsHeroField" t="b"/>
    <rPr n="RequiresInlineAttribution" t="b"/>
    <rPr n="NumberFormat" t="s"/>
  </richProperties>
  <richStyles>
    <rSty>
      <rpv i="0">1</rpv>
    </rSty>
    <rSty>
      <rpv i="1">1</rpv>
    </rSty>
    <rSty>
      <rpv i="2">1</rpv>
    </rSty>
    <rSty dxfid="3">
      <rpv i="3">0.0%</rpv>
    </rSty>
    <rSty dxfid="0">
      <rpv i="3">#,##0</rpv>
    </rSty>
    <rSty dxfid="2">
      <rpv i="3">0.00</rpv>
    </rSty>
    <rSty dxfid="5">
      <rpv i="3">0</rpv>
    </rSty>
    <rSty dxfid="4">
      <rpv i="3">#,##0.00</rpv>
    </rSty>
    <rSty dxfid="1">
      <rpv i="3">0.0</rpv>
    </rSty>
    <rSty dxfid="1">
      <rpv i="3">_([$$-en-US]* #,##0.00_);_([$$-en-US]* (#,##0.00);_([$$-en-US]* "-"??_);_(@_)</rpv>
    </rSty>
    <rSty dxfid="1">
      <rpv i="3">_([$$-en-US]* #,##0_);_([$$-en-US]* (#,##0);_([$$-en-US]* "-"_);_(@_)</rpv>
    </rSty>
    <rSty dxfid="3"/>
  </richStyles>
</richStyleSheet>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pen" xr10:uid="{70AD3E32-094A-4577-8ECA-AE446BF1F639}" sourceName="Open">
  <pivotTables>
    <pivotTable tabId="2" name="PivotTable3"/>
  </pivotTables>
  <data>
    <tabular pivotCacheId="2086145472">
      <items count="20">
        <i x="5" s="1"/>
        <i x="12" s="1" nd="1"/>
        <i x="18" s="1" nd="1"/>
        <i x="17" s="1" nd="1"/>
        <i x="19" s="1" nd="1"/>
        <i x="6" s="1" nd="1"/>
        <i x="7" s="1" nd="1"/>
        <i x="8" s="1" nd="1"/>
        <i x="9" s="1" nd="1"/>
        <i x="15" s="1" nd="1"/>
        <i x="4" s="1" nd="1"/>
        <i x="11" s="1" nd="1"/>
        <i x="16" s="1" nd="1"/>
        <i x="10" s="1" nd="1"/>
        <i x="14" s="1" nd="1"/>
        <i x="13" s="1" nd="1"/>
        <i x="1" s="1" nd="1"/>
        <i x="3" s="1" nd="1"/>
        <i x="2" s="1" nd="1"/>
        <i x="0"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ose" xr10:uid="{551CA1FC-469E-4EE8-B8E0-19CBAC121E09}" sourceName="Close">
  <pivotTables>
    <pivotTable tabId="2" name="PivotTable3"/>
  </pivotTables>
  <data>
    <tabular pivotCacheId="2086145472">
      <items count="20">
        <i x="5" s="1"/>
        <i x="13" s="1" nd="1"/>
        <i x="19" s="1" nd="1"/>
        <i x="18" s="1" nd="1"/>
        <i x="8" s="1" nd="1"/>
        <i x="7" s="1" nd="1"/>
        <i x="6" s="1" nd="1"/>
        <i x="9" s="1" nd="1"/>
        <i x="16" s="1" nd="1"/>
        <i x="12" s="1" nd="1"/>
        <i x="10" s="1" nd="1"/>
        <i x="17" s="1" nd="1"/>
        <i x="14" s="1" nd="1"/>
        <i x="11" s="1" nd="1"/>
        <i x="15" s="1" nd="1"/>
        <i x="2" s="1" nd="1"/>
        <i x="4" s="1" nd="1"/>
        <i x="3" s="1" nd="1"/>
        <i x="1" s="1" nd="1"/>
        <i x="0"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olume" xr10:uid="{2AF8E0F7-C5B2-4915-814B-12C3A3FD1B17}" sourceName="Volume">
  <pivotTables>
    <pivotTable tabId="2" name="PivotTable3"/>
  </pivotTables>
  <data>
    <tabular pivotCacheId="2086145472">
      <items count="20">
        <i x="5" s="1"/>
        <i x="13"/>
        <i x="10"/>
        <i x="4"/>
        <i x="14"/>
        <i x="18"/>
        <i x="3"/>
        <i x="12"/>
        <i x="16"/>
        <i x="17"/>
        <i x="11"/>
        <i x="6"/>
        <i x="19"/>
        <i x="0"/>
        <i x="9" nd="1"/>
        <i x="8" nd="1"/>
        <i x="7" nd="1"/>
        <i x="15" nd="1"/>
        <i x="1" nd="1"/>
        <i x="2"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ography" xr10:uid="{7D05CEA3-18F0-474D-AE57-B7E17CBB27FE}" sourceName="Geography">
  <pivotTables>
    <pivotTable tabId="2" name="PivotTable3"/>
  </pivotTables>
  <data>
    <tabular pivotCacheId="2086145472">
      <items count="6">
        <i x="5" s="1"/>
        <i x="1" nd="1"/>
        <i x="0" s="1" nd="1"/>
        <i x="4" s="1" nd="1"/>
        <i x="2" nd="1"/>
        <i x="3"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BC6F9319-46E5-4618-BE84-FF8D68BEE38C}" sourceName="Country">
  <pivotTables>
    <pivotTable tabId="6" name="PivotTable3"/>
  </pivotTables>
  <data>
    <tabular pivotCacheId="326709823">
      <items count="9">
        <i x="7" s="1"/>
        <i x="0" s="1"/>
        <i x="1" s="1"/>
        <i x="6" s="1"/>
        <i x="3" s="1"/>
        <i x="2" s="1"/>
        <i x="4" s="1"/>
        <i x="8" s="1"/>
        <i x="5"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 xr10:uid="{48583AFD-C344-4DEA-BE6B-FAEED52F631B}" sourceName="Age">
  <pivotTables>
    <pivotTable tabId="6" name="PivotTable3"/>
  </pivotTables>
  <data>
    <tabular pivotCacheId="326709823">
      <items count="13">
        <i x="0" s="1"/>
        <i x="3" s="1"/>
        <i x="1" s="1"/>
        <i x="2" s="1"/>
        <i x="12" s="1"/>
        <i x="4" s="1"/>
        <i x="5" s="1"/>
        <i x="7" s="1"/>
        <i x="11" s="1"/>
        <i x="8" s="1"/>
        <i x="10" s="1" nd="1"/>
        <i x="6" s="1" nd="1"/>
        <i x="9"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ct" xr10:uid="{4A0A89D0-F5A8-45CA-8EFA-9B4E7F73A48C}" sourceName="Project">
  <pivotTables>
    <pivotTable tabId="6" name="PivotTable3"/>
  </pivotTables>
  <data>
    <tabular pivotCacheId="326709823">
      <items count="7">
        <i x="0" s="1"/>
        <i x="4" s="1"/>
        <i x="1" s="1"/>
        <i x="6"/>
        <i x="5"/>
        <i x="3" s="1"/>
        <i x="2"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adline" xr10:uid="{1A3C492B-BB92-4CDD-B7DA-439C18789589}" sourceName="Deadline">
  <pivotTables>
    <pivotTable tabId="6" name="PivotTable3"/>
  </pivotTables>
  <data>
    <tabular pivotCacheId="326709823">
      <items count="7">
        <i x="0" s="1"/>
        <i x="1" s="1"/>
        <i x="2" s="1"/>
        <i x="3" s="1"/>
        <i x="4" s="1"/>
        <i x="5" s="1" nd="1"/>
        <i x="6"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dividual_deadline" xr10:uid="{A65C4D47-9843-4A75-8FBB-D670283572B1}" sourceName="Individual deadline">
  <pivotTables>
    <pivotTable tabId="6" name="PivotTable3"/>
  </pivotTables>
  <data>
    <tabular pivotCacheId="326709823">
      <items count="15">
        <i x="7" s="1"/>
        <i x="13" s="1"/>
        <i x="14" s="1"/>
        <i x="0" s="1"/>
        <i x="1" s="1"/>
        <i x="10"/>
        <i x="12" s="1"/>
        <i x="2" s="1"/>
        <i x="8" s="1"/>
        <i x="3" s="1"/>
        <i x="4" s="1"/>
        <i x="11" s="1"/>
        <i x="5" s="1" nd="1"/>
        <i x="6" s="1" nd="1"/>
        <i x="9"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pen" xr10:uid="{B2F16812-A36E-4D38-BAC9-E5A901BD1575}" cache="Slicer_Open" caption="Open" rowHeight="241300"/>
  <slicer name="Close" xr10:uid="{7FE63E55-434C-40C7-BFFF-B6B67D400CB9}" cache="Slicer_Close" caption="Close" rowHeight="241300"/>
  <slicer name="Volume" xr10:uid="{2E91F276-4BE6-4D26-AF6F-12276F7F5B39}" cache="Slicer_Volume" caption="Volume" rowHeight="241300"/>
  <slicer name="Geography" xr10:uid="{45D5DA21-85B3-4651-9A50-94C19CFEDEA8}" cache="Slicer_Geography" caption="Geography"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xr10:uid="{30628D9C-DD68-4DB0-8BA9-E39504FECF86}" cache="Slicer_Country" caption="Country" rowHeight="241300"/>
  <slicer name="Age" xr10:uid="{CCF786F4-5A62-428D-BF17-49CAF5BDE93B}" cache="Slicer_Age" caption="Age" rowHeight="241300"/>
  <slicer name="Project" xr10:uid="{37BDE465-A08B-46F6-885A-450583DEF282}" cache="Slicer_Project" caption="Project" rowHeight="241300"/>
  <slicer name="Deadline" xr10:uid="{379E250E-181D-4E77-9F73-91349A11E0A2}" cache="Slicer_Deadline" caption="Deadline" rowHeight="241300"/>
  <slicer name="Individual deadline" xr10:uid="{756A136E-D9C7-4D10-9C13-7AFE698DCB70}" cache="Slicer_Individual_deadline" caption="Individual deadlin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1318825-6553-4E0E-B2D2-2A5082681269}" name="Table2" displayName="Table2" ref="A2:H17" totalsRowShown="0" headerRowDxfId="16" headerRowBorderDxfId="26" tableBorderDxfId="27" totalsRowBorderDxfId="25">
  <autoFilter ref="A2:H17" xr:uid="{41318825-6553-4E0E-B2D2-2A5082681269}"/>
  <tableColumns count="8">
    <tableColumn id="1" xr3:uid="{D3DD0567-52B7-45DA-A633-2ADD31C5E1CA}" name="Sl No" dataDxfId="24"/>
    <tableColumn id="2" xr3:uid="{5659F39B-B9CC-4105-A916-86149C96052B}" name="Name" dataDxfId="23"/>
    <tableColumn id="3" xr3:uid="{54D3293B-E1BE-4BD6-8C66-731352ED546D}" name="Country" dataDxfId="22"/>
    <tableColumn id="4" xr3:uid="{76DE1AE5-8D15-4CF2-8EFF-B34E3E51A3A7}" name="Age" dataDxfId="21"/>
    <tableColumn id="5" xr3:uid="{86801674-9565-4D3E-97BF-43CD6FFD8A26}" name="Income" dataDxfId="20"/>
    <tableColumn id="6" xr3:uid="{3E3DA0C3-DB81-4AD7-8A83-4B461638127F}" name="Project" dataDxfId="19"/>
    <tableColumn id="7" xr3:uid="{D3F39F24-FCC6-4425-8555-359264A218E9}" name="Deadline" dataDxfId="18"/>
    <tableColumn id="8" xr3:uid="{945428DA-1D0A-49CF-A553-7F747995E1E1}" name="Individual deadline" dataDxfId="1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980CFEB-CF31-4053-8156-593A1BDCD303}" name="Table3" displayName="Table3" ref="B19:C26" totalsRowShown="0" headerRowDxfId="10" headerRowBorderDxfId="14" tableBorderDxfId="15" totalsRowBorderDxfId="13">
  <autoFilter ref="B19:C26" xr:uid="{4980CFEB-CF31-4053-8156-593A1BDCD303}"/>
  <tableColumns count="2">
    <tableColumn id="1" xr3:uid="{28C01A5E-07B3-48CF-9ADA-CB295D1B1017}" name="Projects" dataDxfId="12"/>
    <tableColumn id="2" xr3:uid="{911BBBEF-F1CC-4830-AA20-4761EADAAA0F}" name="Deadline" dataDxfId="11"/>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4B342D7-CE74-412F-A3EF-9121C1302431}" name="Table4" displayName="Table4" ref="A19:A30" totalsRowShown="0" headerRowBorderDxfId="8" tableBorderDxfId="9" totalsRowBorderDxfId="7">
  <autoFilter ref="A19:A30" xr:uid="{24B342D7-CE74-412F-A3EF-9121C1302431}"/>
  <tableColumns count="1">
    <tableColumn id="1" xr3:uid="{C9EC2324-FBC9-4BCB-A122-007FBEC25964}" name="Asia" dataDxfId="6"/>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95918BB-9005-48E3-9EB7-CF330DB4DA3F}" name="Table5" displayName="Table5" ref="A2:C14" totalsRowShown="0" headerRowBorderDxfId="4" tableBorderDxfId="5" totalsRowBorderDxfId="3">
  <autoFilter ref="A2:C14" xr:uid="{695918BB-9005-48E3-9EB7-CF330DB4DA3F}"/>
  <tableColumns count="3">
    <tableColumn id="1" xr3:uid="{1EEB8FAD-6BDA-4B5C-8E39-D89D6CE199B5}" name="Date" dataDxfId="2"/>
    <tableColumn id="2" xr3:uid="{B71BB98A-11D8-4E30-B4C2-D6AD87DFACE4}" name="Region" dataDxfId="1"/>
    <tableColumn id="3" xr3:uid="{882D7966-5738-40F8-9CAD-EA22F54D1533}" name="Value" dataDxfId="0"/>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ivotTable" Target="../pivotTables/pivotTable3.xml"/><Relationship Id="rId6" Type="http://schemas.microsoft.com/office/2007/relationships/slicer" Target="../slicers/slicer2.xml"/><Relationship Id="rId5" Type="http://schemas.openxmlformats.org/officeDocument/2006/relationships/table" Target="../tables/table3.xml"/><Relationship Id="rId4"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6F2F7C-3024-4B6F-9B4F-69080816D08C}">
  <sheetPr codeName="Sheet2"/>
  <dimension ref="A1:V124"/>
  <sheetViews>
    <sheetView zoomScale="47" workbookViewId="0">
      <selection activeCell="L32" sqref="L32"/>
    </sheetView>
  </sheetViews>
  <sheetFormatPr defaultRowHeight="14.5" x14ac:dyDescent="0.35"/>
  <cols>
    <col min="1" max="1" width="11" bestFit="1" customWidth="1"/>
    <col min="2" max="5" width="10.08984375" bestFit="1" customWidth="1"/>
    <col min="16" max="16" width="18.26953125" bestFit="1" customWidth="1"/>
    <col min="17" max="17" width="18.6328125" bestFit="1" customWidth="1"/>
    <col min="18" max="18" width="15.54296875" bestFit="1" customWidth="1"/>
    <col min="19" max="19" width="25.81640625" bestFit="1" customWidth="1"/>
    <col min="20" max="20" width="31" bestFit="1" customWidth="1"/>
    <col min="21" max="21" width="22.1796875" bestFit="1" customWidth="1"/>
    <col min="22" max="22" width="27.36328125" bestFit="1" customWidth="1"/>
    <col min="23" max="23" width="20.453125" bestFit="1" customWidth="1"/>
    <col min="24" max="24" width="25" bestFit="1" customWidth="1"/>
    <col min="25" max="26" width="16.54296875" bestFit="1" customWidth="1"/>
    <col min="27" max="27" width="20.453125" bestFit="1" customWidth="1"/>
    <col min="28" max="28" width="25" bestFit="1" customWidth="1"/>
    <col min="29" max="30" width="16.54296875" bestFit="1" customWidth="1"/>
    <col min="31" max="31" width="20.453125" bestFit="1" customWidth="1"/>
    <col min="32" max="32" width="25" bestFit="1" customWidth="1"/>
    <col min="33" max="34" width="16.54296875" bestFit="1" customWidth="1"/>
    <col min="35" max="35" width="20.453125" bestFit="1" customWidth="1"/>
    <col min="36" max="36" width="25" bestFit="1" customWidth="1"/>
    <col min="37" max="38" width="16.54296875" bestFit="1" customWidth="1"/>
    <col min="39" max="39" width="20.453125" bestFit="1" customWidth="1"/>
    <col min="40" max="40" width="25" bestFit="1" customWidth="1"/>
    <col min="41" max="42" width="16.54296875" bestFit="1" customWidth="1"/>
    <col min="43" max="43" width="20.453125" bestFit="1" customWidth="1"/>
    <col min="44" max="44" width="25" bestFit="1" customWidth="1"/>
    <col min="45" max="46" width="16.54296875" bestFit="1" customWidth="1"/>
    <col min="47" max="47" width="20.453125" bestFit="1" customWidth="1"/>
    <col min="48" max="48" width="25" bestFit="1" customWidth="1"/>
    <col min="49" max="50" width="16.54296875" bestFit="1" customWidth="1"/>
    <col min="51" max="51" width="20.453125" bestFit="1" customWidth="1"/>
    <col min="52" max="52" width="25" bestFit="1" customWidth="1"/>
    <col min="53" max="54" width="16.54296875" bestFit="1" customWidth="1"/>
    <col min="55" max="55" width="20.453125" bestFit="1" customWidth="1"/>
    <col min="56" max="56" width="25" bestFit="1" customWidth="1"/>
    <col min="57" max="58" width="16.54296875" bestFit="1" customWidth="1"/>
    <col min="59" max="59" width="20.453125" bestFit="1" customWidth="1"/>
    <col min="60" max="60" width="25" bestFit="1" customWidth="1"/>
    <col min="61" max="62" width="16.54296875" bestFit="1" customWidth="1"/>
    <col min="63" max="63" width="20.453125" bestFit="1" customWidth="1"/>
    <col min="64" max="64" width="25" bestFit="1" customWidth="1"/>
    <col min="65" max="66" width="16.54296875" bestFit="1" customWidth="1"/>
    <col min="67" max="67" width="20.453125" bestFit="1" customWidth="1"/>
    <col min="68" max="68" width="25" bestFit="1" customWidth="1"/>
    <col min="69" max="70" width="16.54296875" bestFit="1" customWidth="1"/>
    <col min="71" max="71" width="19.36328125" bestFit="1" customWidth="1"/>
    <col min="72" max="72" width="23.90625" bestFit="1" customWidth="1"/>
    <col min="73" max="73" width="16.81640625" bestFit="1" customWidth="1"/>
    <col min="74" max="74" width="21.36328125" bestFit="1" customWidth="1"/>
    <col min="75" max="75" width="20.453125" bestFit="1" customWidth="1"/>
    <col min="76" max="76" width="25" bestFit="1" customWidth="1"/>
    <col min="77" max="78" width="16.54296875" bestFit="1" customWidth="1"/>
    <col min="79" max="79" width="20.453125" bestFit="1" customWidth="1"/>
    <col min="80" max="80" width="25" bestFit="1" customWidth="1"/>
    <col min="81" max="82" width="16.54296875" bestFit="1" customWidth="1"/>
    <col min="83" max="83" width="20.453125" bestFit="1" customWidth="1"/>
    <col min="84" max="84" width="25" bestFit="1" customWidth="1"/>
    <col min="85" max="86" width="16.54296875" bestFit="1" customWidth="1"/>
    <col min="87" max="87" width="19.36328125" bestFit="1" customWidth="1"/>
    <col min="88" max="88" width="23.90625" bestFit="1" customWidth="1"/>
    <col min="89" max="89" width="16.81640625" bestFit="1" customWidth="1"/>
    <col min="90" max="90" width="21.36328125" bestFit="1" customWidth="1"/>
    <col min="91" max="91" width="20.453125" bestFit="1" customWidth="1"/>
    <col min="92" max="92" width="25" bestFit="1" customWidth="1"/>
    <col min="93" max="94" width="16.54296875" bestFit="1" customWidth="1"/>
    <col min="95" max="95" width="19.36328125" bestFit="1" customWidth="1"/>
    <col min="96" max="96" width="23.90625" bestFit="1" customWidth="1"/>
    <col min="97" max="97" width="16.81640625" bestFit="1" customWidth="1"/>
    <col min="98" max="98" width="21.36328125" bestFit="1" customWidth="1"/>
  </cols>
  <sheetData>
    <row r="1" spans="1:22" x14ac:dyDescent="0.35">
      <c r="A1" s="31" t="s">
        <v>0</v>
      </c>
      <c r="B1" s="31"/>
      <c r="C1" s="31"/>
      <c r="D1" s="31"/>
      <c r="E1" s="31"/>
      <c r="F1" s="31"/>
      <c r="G1" s="31"/>
      <c r="H1" s="31"/>
    </row>
    <row r="2" spans="1:22" x14ac:dyDescent="0.35">
      <c r="A2" s="1" t="s">
        <v>1</v>
      </c>
      <c r="B2" s="2" t="s">
        <v>2</v>
      </c>
      <c r="C2" s="2" t="s">
        <v>3</v>
      </c>
      <c r="D2" s="2" t="s">
        <v>4</v>
      </c>
      <c r="E2" s="2" t="s">
        <v>5</v>
      </c>
      <c r="F2" s="2" t="s">
        <v>6</v>
      </c>
      <c r="G2" s="2" t="s">
        <v>28</v>
      </c>
      <c r="H2" s="2" t="s">
        <v>7</v>
      </c>
      <c r="P2" s="10" t="s">
        <v>4</v>
      </c>
      <c r="Q2" t="s">
        <v>38</v>
      </c>
    </row>
    <row r="3" spans="1:22" x14ac:dyDescent="0.35">
      <c r="A3" s="3">
        <v>45166</v>
      </c>
      <c r="B3" s="4">
        <v>65558.91</v>
      </c>
      <c r="C3" s="4">
        <v>65924.67</v>
      </c>
      <c r="D3" s="4">
        <v>65558.91</v>
      </c>
      <c r="E3" s="5">
        <v>65909.179999999993</v>
      </c>
      <c r="F3" s="6" t="s">
        <v>8</v>
      </c>
      <c r="G3" s="6" t="s">
        <v>29</v>
      </c>
      <c r="H3" s="7">
        <v>5.3E-3</v>
      </c>
    </row>
    <row r="4" spans="1:22" x14ac:dyDescent="0.35">
      <c r="A4" s="3">
        <v>45163</v>
      </c>
      <c r="B4" s="4">
        <v>65401.82</v>
      </c>
      <c r="C4" s="4">
        <v>65585.279999999999</v>
      </c>
      <c r="D4" s="4">
        <v>65401.82</v>
      </c>
      <c r="E4" s="5">
        <v>65558.91</v>
      </c>
      <c r="F4" s="6" t="s">
        <v>9</v>
      </c>
      <c r="G4" s="6" t="s">
        <v>30</v>
      </c>
      <c r="H4" s="7">
        <v>2.3999999999999998E-3</v>
      </c>
      <c r="Q4" s="10" t="s">
        <v>6</v>
      </c>
      <c r="R4" s="10" t="s">
        <v>2</v>
      </c>
      <c r="S4" s="10" t="s">
        <v>39</v>
      </c>
    </row>
    <row r="5" spans="1:22" x14ac:dyDescent="0.35">
      <c r="A5" s="3">
        <v>45162</v>
      </c>
      <c r="B5" s="4">
        <v>65493.1</v>
      </c>
      <c r="C5" s="4">
        <v>66185.039999999994</v>
      </c>
      <c r="D5" s="4">
        <v>65374.39</v>
      </c>
      <c r="E5" s="8">
        <v>65401.82</v>
      </c>
      <c r="F5" s="6" t="s">
        <v>10</v>
      </c>
      <c r="G5" s="6" t="s">
        <v>31</v>
      </c>
      <c r="H5" s="9">
        <v>-1.4E-3</v>
      </c>
      <c r="Q5" t="s">
        <v>13</v>
      </c>
      <c r="S5" t="s">
        <v>40</v>
      </c>
      <c r="T5" t="s">
        <v>41</v>
      </c>
      <c r="U5" t="s">
        <v>42</v>
      </c>
      <c r="V5" t="s">
        <v>43</v>
      </c>
    </row>
    <row r="6" spans="1:22" x14ac:dyDescent="0.35">
      <c r="A6" s="3">
        <v>45161</v>
      </c>
      <c r="B6" s="4">
        <v>65488.67</v>
      </c>
      <c r="C6" s="4">
        <v>65567.61</v>
      </c>
      <c r="D6" s="4">
        <v>65416.76</v>
      </c>
      <c r="E6" s="5">
        <v>65492.92</v>
      </c>
      <c r="F6" s="6" t="s">
        <v>11</v>
      </c>
      <c r="G6" s="6" t="s">
        <v>32</v>
      </c>
      <c r="H6" s="7">
        <v>1E-4</v>
      </c>
      <c r="Q6" s="14">
        <v>64721.09</v>
      </c>
    </row>
    <row r="7" spans="1:22" x14ac:dyDescent="0.35">
      <c r="A7" s="3">
        <v>45160</v>
      </c>
      <c r="B7" s="4">
        <v>65198.74</v>
      </c>
      <c r="C7" s="4">
        <v>65672.679999999993</v>
      </c>
      <c r="D7" s="4">
        <v>65191.01</v>
      </c>
      <c r="E7" s="5">
        <v>65488.67</v>
      </c>
      <c r="F7" s="6" t="s">
        <v>12</v>
      </c>
      <c r="G7" s="6" t="s">
        <v>33</v>
      </c>
      <c r="H7" s="7">
        <v>4.4000000000000003E-3</v>
      </c>
      <c r="P7" s="10" t="s">
        <v>28</v>
      </c>
      <c r="Q7" t="s">
        <v>37</v>
      </c>
      <c r="R7" t="s">
        <v>44</v>
      </c>
    </row>
    <row r="8" spans="1:22" x14ac:dyDescent="0.35">
      <c r="A8" s="3">
        <v>45159</v>
      </c>
      <c r="B8" s="4">
        <v>64721.09</v>
      </c>
      <c r="C8" s="4">
        <v>65202.41</v>
      </c>
      <c r="D8" s="4">
        <v>64690.33</v>
      </c>
      <c r="E8" s="5">
        <v>65202.41</v>
      </c>
      <c r="F8" s="6" t="s">
        <v>13</v>
      </c>
      <c r="G8" s="6" t="s">
        <v>34</v>
      </c>
      <c r="H8" s="7">
        <v>7.1000000000000004E-3</v>
      </c>
      <c r="P8" t="s">
        <v>34</v>
      </c>
      <c r="Q8" s="33">
        <v>7.1000000000000004E-3</v>
      </c>
      <c r="R8" s="14">
        <v>-481.32000000000698</v>
      </c>
      <c r="S8" s="33">
        <v>7.1000000000000004E-3</v>
      </c>
      <c r="T8" s="14">
        <v>-481.32000000000698</v>
      </c>
      <c r="U8" s="33">
        <v>7.1000000000000004E-3</v>
      </c>
      <c r="V8" s="14">
        <v>-481.32000000000698</v>
      </c>
    </row>
    <row r="9" spans="1:22" x14ac:dyDescent="0.35">
      <c r="A9" s="3">
        <v>45156</v>
      </c>
      <c r="B9" s="4">
        <v>64469.75</v>
      </c>
      <c r="C9" s="4">
        <v>64784.47</v>
      </c>
      <c r="D9" s="4">
        <v>64450.400000000001</v>
      </c>
      <c r="E9" s="5">
        <v>64743.96</v>
      </c>
      <c r="F9" s="6" t="s">
        <v>14</v>
      </c>
      <c r="G9" s="6" t="s">
        <v>29</v>
      </c>
      <c r="H9" s="7">
        <v>1.1999999999999999E-3</v>
      </c>
      <c r="P9" t="s">
        <v>36</v>
      </c>
      <c r="Q9" s="33">
        <v>7.1000000000000004E-3</v>
      </c>
      <c r="R9" s="14">
        <v>-481.32000000000698</v>
      </c>
      <c r="S9" s="33">
        <v>7.1000000000000004E-3</v>
      </c>
      <c r="T9" s="14">
        <v>-481.32000000000698</v>
      </c>
      <c r="U9" s="33">
        <v>7.1000000000000004E-3</v>
      </c>
      <c r="V9" s="14">
        <v>-481.32000000000698</v>
      </c>
    </row>
    <row r="10" spans="1:22" x14ac:dyDescent="0.35">
      <c r="A10" s="3">
        <v>45155</v>
      </c>
      <c r="B10" s="4">
        <v>64625.279999999999</v>
      </c>
      <c r="C10" s="4">
        <v>64663.78</v>
      </c>
      <c r="D10" s="4">
        <v>64452.84</v>
      </c>
      <c r="E10" s="5">
        <v>64663.78</v>
      </c>
      <c r="F10" s="6" t="s">
        <v>15</v>
      </c>
      <c r="G10" s="6" t="s">
        <v>31</v>
      </c>
      <c r="H10" s="7">
        <v>5.9999999999999995E-4</v>
      </c>
    </row>
    <row r="11" spans="1:22" x14ac:dyDescent="0.35">
      <c r="A11" s="3">
        <v>45154</v>
      </c>
      <c r="B11" s="4">
        <v>64928.98</v>
      </c>
      <c r="C11" s="4">
        <v>65128.21</v>
      </c>
      <c r="D11" s="4">
        <v>64549.58</v>
      </c>
      <c r="E11" s="8">
        <v>64625.279999999999</v>
      </c>
      <c r="F11" s="6" t="s">
        <v>16</v>
      </c>
      <c r="G11" s="6" t="s">
        <v>31</v>
      </c>
      <c r="H11" s="9">
        <v>-4.7000000000000002E-3</v>
      </c>
    </row>
    <row r="12" spans="1:22" x14ac:dyDescent="0.35">
      <c r="A12" s="3">
        <v>45153</v>
      </c>
      <c r="B12" s="4">
        <v>65023.8</v>
      </c>
      <c r="C12" s="4">
        <v>65028.46</v>
      </c>
      <c r="D12" s="4">
        <v>64860.22</v>
      </c>
      <c r="E12" s="8">
        <v>64928.98</v>
      </c>
      <c r="F12" s="6" t="s">
        <v>17</v>
      </c>
      <c r="G12" s="6" t="s">
        <v>31</v>
      </c>
      <c r="H12" s="9">
        <v>-4.3E-3</v>
      </c>
    </row>
    <row r="13" spans="1:22" x14ac:dyDescent="0.35">
      <c r="A13" s="3">
        <v>45152</v>
      </c>
      <c r="B13" s="4">
        <v>65325.37</v>
      </c>
      <c r="C13" s="4">
        <v>65358.76</v>
      </c>
      <c r="D13" s="4">
        <v>65183.22</v>
      </c>
      <c r="E13" s="8">
        <v>65210.49</v>
      </c>
      <c r="F13" s="6" t="s">
        <v>18</v>
      </c>
      <c r="G13" s="6" t="s">
        <v>32</v>
      </c>
      <c r="H13" s="9">
        <v>-1.8E-3</v>
      </c>
    </row>
    <row r="14" spans="1:22" x14ac:dyDescent="0.35">
      <c r="A14" s="3">
        <v>45149</v>
      </c>
      <c r="B14" s="4">
        <v>65204.82</v>
      </c>
      <c r="C14" s="4">
        <v>65352.7</v>
      </c>
      <c r="D14" s="4">
        <v>65189.91</v>
      </c>
      <c r="E14" s="5">
        <v>65325.37</v>
      </c>
      <c r="F14" s="6" t="s">
        <v>19</v>
      </c>
      <c r="G14" s="6" t="s">
        <v>32</v>
      </c>
      <c r="H14" s="7">
        <v>1.8E-3</v>
      </c>
    </row>
    <row r="15" spans="1:22" x14ac:dyDescent="0.35">
      <c r="A15" s="3">
        <v>45148</v>
      </c>
      <c r="B15" s="4">
        <v>64167.39</v>
      </c>
      <c r="C15" s="4">
        <v>65205.35</v>
      </c>
      <c r="D15" s="4">
        <v>64154.19</v>
      </c>
      <c r="E15" s="5">
        <v>65205.35</v>
      </c>
      <c r="F15" s="6" t="s">
        <v>20</v>
      </c>
      <c r="G15" s="6" t="s">
        <v>33</v>
      </c>
      <c r="H15" s="7">
        <v>1.6199999999999999E-2</v>
      </c>
    </row>
    <row r="16" spans="1:22" x14ac:dyDescent="0.35">
      <c r="A16" s="3">
        <v>45147</v>
      </c>
      <c r="B16" s="4">
        <v>65385.45</v>
      </c>
      <c r="C16" s="4">
        <v>65396.93</v>
      </c>
      <c r="D16" s="4">
        <v>64167.39</v>
      </c>
      <c r="E16" s="8">
        <v>64167.39</v>
      </c>
      <c r="F16" s="6" t="s">
        <v>21</v>
      </c>
      <c r="G16" s="6" t="s">
        <v>33</v>
      </c>
      <c r="H16" s="9">
        <v>-1.7500000000000002E-2</v>
      </c>
    </row>
    <row r="17" spans="1:19" x14ac:dyDescent="0.35">
      <c r="A17" s="3">
        <v>45146</v>
      </c>
      <c r="B17" s="4">
        <v>65336.71</v>
      </c>
      <c r="C17" s="4">
        <v>65393.68</v>
      </c>
      <c r="D17" s="4">
        <v>65212.959999999999</v>
      </c>
      <c r="E17" s="8">
        <v>65309.65</v>
      </c>
      <c r="F17" s="6" t="s">
        <v>22</v>
      </c>
      <c r="G17" s="6" t="s">
        <v>34</v>
      </c>
      <c r="H17" s="9">
        <v>-4.0000000000000002E-4</v>
      </c>
    </row>
    <row r="18" spans="1:19" x14ac:dyDescent="0.35">
      <c r="A18" s="3">
        <v>45145</v>
      </c>
      <c r="B18" s="4">
        <v>65198.080000000002</v>
      </c>
      <c r="C18" s="4">
        <v>65340.27</v>
      </c>
      <c r="D18" s="4">
        <v>65192.01</v>
      </c>
      <c r="E18" s="5">
        <v>65336.800000000003</v>
      </c>
      <c r="F18" s="6" t="s">
        <v>23</v>
      </c>
      <c r="G18" s="6" t="s">
        <v>30</v>
      </c>
      <c r="H18" s="7">
        <v>2.0999999999999999E-3</v>
      </c>
    </row>
    <row r="19" spans="1:19" x14ac:dyDescent="0.35">
      <c r="A19" s="3">
        <v>45142</v>
      </c>
      <c r="B19" s="4">
        <v>65263.06</v>
      </c>
      <c r="C19" s="4">
        <v>65309.66</v>
      </c>
      <c r="D19" s="4">
        <v>64910.29</v>
      </c>
      <c r="E19" s="8">
        <v>65198.080000000002</v>
      </c>
      <c r="F19" s="6" t="s">
        <v>24</v>
      </c>
      <c r="G19" s="6" t="s">
        <v>34</v>
      </c>
      <c r="H19" s="9">
        <v>-1E-3</v>
      </c>
      <c r="P19" s="30" t="s">
        <v>45</v>
      </c>
      <c r="Q19" s="30"/>
      <c r="R19" s="30"/>
      <c r="S19" s="30"/>
    </row>
    <row r="20" spans="1:19" x14ac:dyDescent="0.35">
      <c r="A20" s="3">
        <v>45141</v>
      </c>
      <c r="B20" s="4">
        <v>64267.360000000001</v>
      </c>
      <c r="C20" s="4">
        <v>65323.199999999997</v>
      </c>
      <c r="D20" s="4">
        <v>64267.360000000001</v>
      </c>
      <c r="E20" s="5">
        <v>65263.06</v>
      </c>
      <c r="F20" s="6" t="s">
        <v>25</v>
      </c>
      <c r="G20" s="6" t="s">
        <v>29</v>
      </c>
      <c r="H20" s="7">
        <v>1.55E-2</v>
      </c>
    </row>
    <row r="21" spans="1:19" x14ac:dyDescent="0.35">
      <c r="A21" s="3">
        <v>45140</v>
      </c>
      <c r="B21" s="4">
        <v>64193.38</v>
      </c>
      <c r="C21" s="4">
        <v>64301.59</v>
      </c>
      <c r="D21" s="4">
        <v>63773.760000000002</v>
      </c>
      <c r="E21" s="5">
        <v>64267.360000000001</v>
      </c>
      <c r="F21" s="6" t="s">
        <v>26</v>
      </c>
      <c r="G21" s="6" t="s">
        <v>29</v>
      </c>
      <c r="H21" s="7">
        <v>1.1999999999999999E-3</v>
      </c>
    </row>
    <row r="22" spans="1:19" x14ac:dyDescent="0.35">
      <c r="A22" s="3">
        <v>45139</v>
      </c>
      <c r="B22" s="4">
        <v>64337.3</v>
      </c>
      <c r="C22" s="4">
        <v>64340.24</v>
      </c>
      <c r="D22" s="4">
        <v>64003.17</v>
      </c>
      <c r="E22" s="8">
        <v>64192.2</v>
      </c>
      <c r="F22" s="6" t="s">
        <v>27</v>
      </c>
      <c r="G22" s="6" t="s">
        <v>32</v>
      </c>
      <c r="H22" s="9">
        <v>-2.3E-3</v>
      </c>
    </row>
    <row r="63" spans="17:18" x14ac:dyDescent="0.35">
      <c r="Q63" s="10" t="s">
        <v>35</v>
      </c>
      <c r="R63" t="s">
        <v>47</v>
      </c>
    </row>
    <row r="64" spans="17:18" x14ac:dyDescent="0.35">
      <c r="Q64" s="11">
        <v>45139</v>
      </c>
      <c r="R64" s="33">
        <v>64337.3</v>
      </c>
    </row>
    <row r="65" spans="17:18" x14ac:dyDescent="0.35">
      <c r="Q65" s="12" t="s">
        <v>27</v>
      </c>
      <c r="R65" s="33">
        <v>64337.3</v>
      </c>
    </row>
    <row r="66" spans="17:18" x14ac:dyDescent="0.35">
      <c r="Q66" s="13" t="s">
        <v>32</v>
      </c>
      <c r="R66" s="33">
        <v>64337.3</v>
      </c>
    </row>
    <row r="67" spans="17:18" x14ac:dyDescent="0.35">
      <c r="Q67" s="11">
        <v>45140</v>
      </c>
      <c r="R67" s="33">
        <v>64193.38</v>
      </c>
    </row>
    <row r="68" spans="17:18" x14ac:dyDescent="0.35">
      <c r="Q68" s="12" t="s">
        <v>26</v>
      </c>
      <c r="R68" s="33">
        <v>64193.38</v>
      </c>
    </row>
    <row r="69" spans="17:18" x14ac:dyDescent="0.35">
      <c r="Q69" s="13" t="s">
        <v>29</v>
      </c>
      <c r="R69" s="33">
        <v>64193.38</v>
      </c>
    </row>
    <row r="70" spans="17:18" x14ac:dyDescent="0.35">
      <c r="Q70" s="11">
        <v>45141</v>
      </c>
      <c r="R70" s="33">
        <v>64267.360000000001</v>
      </c>
    </row>
    <row r="71" spans="17:18" x14ac:dyDescent="0.35">
      <c r="Q71" s="12" t="s">
        <v>25</v>
      </c>
      <c r="R71" s="33">
        <v>64267.360000000001</v>
      </c>
    </row>
    <row r="72" spans="17:18" x14ac:dyDescent="0.35">
      <c r="Q72" s="13" t="s">
        <v>29</v>
      </c>
      <c r="R72" s="33">
        <v>64267.360000000001</v>
      </c>
    </row>
    <row r="73" spans="17:18" x14ac:dyDescent="0.35">
      <c r="Q73" s="11">
        <v>45142</v>
      </c>
      <c r="R73" s="33">
        <v>65263.06</v>
      </c>
    </row>
    <row r="74" spans="17:18" x14ac:dyDescent="0.35">
      <c r="Q74" s="12" t="s">
        <v>24</v>
      </c>
      <c r="R74" s="33">
        <v>65263.06</v>
      </c>
    </row>
    <row r="75" spans="17:18" x14ac:dyDescent="0.35">
      <c r="Q75" s="13" t="s">
        <v>34</v>
      </c>
      <c r="R75" s="33">
        <v>65263.06</v>
      </c>
    </row>
    <row r="76" spans="17:18" x14ac:dyDescent="0.35">
      <c r="Q76" s="11">
        <v>45145</v>
      </c>
      <c r="R76" s="33">
        <v>65198.080000000002</v>
      </c>
    </row>
    <row r="77" spans="17:18" x14ac:dyDescent="0.35">
      <c r="Q77" s="12" t="s">
        <v>23</v>
      </c>
      <c r="R77" s="33">
        <v>65198.080000000002</v>
      </c>
    </row>
    <row r="78" spans="17:18" x14ac:dyDescent="0.35">
      <c r="Q78" s="13" t="s">
        <v>30</v>
      </c>
      <c r="R78" s="33">
        <v>65198.080000000002</v>
      </c>
    </row>
    <row r="79" spans="17:18" x14ac:dyDescent="0.35">
      <c r="Q79" s="11">
        <v>45146</v>
      </c>
      <c r="R79" s="33">
        <v>65336.71</v>
      </c>
    </row>
    <row r="80" spans="17:18" x14ac:dyDescent="0.35">
      <c r="Q80" s="12" t="s">
        <v>22</v>
      </c>
      <c r="R80" s="33">
        <v>65336.71</v>
      </c>
    </row>
    <row r="81" spans="17:18" x14ac:dyDescent="0.35">
      <c r="Q81" s="13" t="s">
        <v>34</v>
      </c>
      <c r="R81" s="33">
        <v>65336.71</v>
      </c>
    </row>
    <row r="82" spans="17:18" x14ac:dyDescent="0.35">
      <c r="Q82" s="11">
        <v>45147</v>
      </c>
      <c r="R82" s="33">
        <v>65385.45</v>
      </c>
    </row>
    <row r="83" spans="17:18" x14ac:dyDescent="0.35">
      <c r="Q83" s="12" t="s">
        <v>21</v>
      </c>
      <c r="R83" s="33">
        <v>65385.45</v>
      </c>
    </row>
    <row r="84" spans="17:18" x14ac:dyDescent="0.35">
      <c r="Q84" s="13" t="s">
        <v>33</v>
      </c>
      <c r="R84" s="33">
        <v>65385.45</v>
      </c>
    </row>
    <row r="85" spans="17:18" x14ac:dyDescent="0.35">
      <c r="Q85" s="11">
        <v>45148</v>
      </c>
      <c r="R85" s="33">
        <v>64167.39</v>
      </c>
    </row>
    <row r="86" spans="17:18" x14ac:dyDescent="0.35">
      <c r="Q86" s="12" t="s">
        <v>20</v>
      </c>
      <c r="R86" s="33">
        <v>64167.39</v>
      </c>
    </row>
    <row r="87" spans="17:18" x14ac:dyDescent="0.35">
      <c r="Q87" s="13" t="s">
        <v>33</v>
      </c>
      <c r="R87" s="33">
        <v>64167.39</v>
      </c>
    </row>
    <row r="88" spans="17:18" x14ac:dyDescent="0.35">
      <c r="Q88" s="11">
        <v>45149</v>
      </c>
      <c r="R88" s="33">
        <v>65204.82</v>
      </c>
    </row>
    <row r="89" spans="17:18" x14ac:dyDescent="0.35">
      <c r="Q89" s="12" t="s">
        <v>19</v>
      </c>
      <c r="R89" s="33">
        <v>65204.82</v>
      </c>
    </row>
    <row r="90" spans="17:18" x14ac:dyDescent="0.35">
      <c r="Q90" s="13" t="s">
        <v>32</v>
      </c>
      <c r="R90" s="33">
        <v>65204.82</v>
      </c>
    </row>
    <row r="91" spans="17:18" x14ac:dyDescent="0.35">
      <c r="Q91" s="11">
        <v>45152</v>
      </c>
      <c r="R91" s="33">
        <v>65325.37</v>
      </c>
    </row>
    <row r="92" spans="17:18" x14ac:dyDescent="0.35">
      <c r="Q92" s="12" t="s">
        <v>18</v>
      </c>
      <c r="R92" s="33">
        <v>65325.37</v>
      </c>
    </row>
    <row r="93" spans="17:18" x14ac:dyDescent="0.35">
      <c r="Q93" s="13" t="s">
        <v>32</v>
      </c>
      <c r="R93" s="33">
        <v>65325.37</v>
      </c>
    </row>
    <row r="94" spans="17:18" x14ac:dyDescent="0.35">
      <c r="Q94" s="11">
        <v>45153</v>
      </c>
      <c r="R94" s="33">
        <v>65023.8</v>
      </c>
    </row>
    <row r="95" spans="17:18" x14ac:dyDescent="0.35">
      <c r="Q95" s="12" t="s">
        <v>17</v>
      </c>
      <c r="R95" s="33">
        <v>65023.8</v>
      </c>
    </row>
    <row r="96" spans="17:18" x14ac:dyDescent="0.35">
      <c r="Q96" s="13" t="s">
        <v>31</v>
      </c>
      <c r="R96" s="33">
        <v>65023.8</v>
      </c>
    </row>
    <row r="97" spans="17:18" x14ac:dyDescent="0.35">
      <c r="Q97" s="11">
        <v>45154</v>
      </c>
      <c r="R97" s="33">
        <v>64928.98</v>
      </c>
    </row>
    <row r="98" spans="17:18" x14ac:dyDescent="0.35">
      <c r="Q98" s="12" t="s">
        <v>16</v>
      </c>
      <c r="R98" s="33">
        <v>64928.98</v>
      </c>
    </row>
    <row r="99" spans="17:18" x14ac:dyDescent="0.35">
      <c r="Q99" s="13" t="s">
        <v>31</v>
      </c>
      <c r="R99" s="33">
        <v>64928.98</v>
      </c>
    </row>
    <row r="100" spans="17:18" x14ac:dyDescent="0.35">
      <c r="Q100" s="11">
        <v>45155</v>
      </c>
      <c r="R100" s="33">
        <v>64625.279999999999</v>
      </c>
    </row>
    <row r="101" spans="17:18" x14ac:dyDescent="0.35">
      <c r="Q101" s="12" t="s">
        <v>15</v>
      </c>
      <c r="R101" s="33">
        <v>64625.279999999999</v>
      </c>
    </row>
    <row r="102" spans="17:18" x14ac:dyDescent="0.35">
      <c r="Q102" s="13" t="s">
        <v>31</v>
      </c>
      <c r="R102" s="33">
        <v>64625.279999999999</v>
      </c>
    </row>
    <row r="103" spans="17:18" x14ac:dyDescent="0.35">
      <c r="Q103" s="11">
        <v>45156</v>
      </c>
      <c r="R103" s="33">
        <v>64469.75</v>
      </c>
    </row>
    <row r="104" spans="17:18" x14ac:dyDescent="0.35">
      <c r="Q104" s="12" t="s">
        <v>14</v>
      </c>
      <c r="R104" s="33">
        <v>64469.75</v>
      </c>
    </row>
    <row r="105" spans="17:18" x14ac:dyDescent="0.35">
      <c r="Q105" s="13" t="s">
        <v>29</v>
      </c>
      <c r="R105" s="33">
        <v>64469.75</v>
      </c>
    </row>
    <row r="106" spans="17:18" x14ac:dyDescent="0.35">
      <c r="Q106" s="11">
        <v>45159</v>
      </c>
      <c r="R106" s="33">
        <v>64721.09</v>
      </c>
    </row>
    <row r="107" spans="17:18" x14ac:dyDescent="0.35">
      <c r="Q107" s="12" t="s">
        <v>13</v>
      </c>
      <c r="R107" s="33">
        <v>64721.09</v>
      </c>
    </row>
    <row r="108" spans="17:18" x14ac:dyDescent="0.35">
      <c r="Q108" s="13" t="s">
        <v>34</v>
      </c>
      <c r="R108" s="33">
        <v>64721.09</v>
      </c>
    </row>
    <row r="109" spans="17:18" x14ac:dyDescent="0.35">
      <c r="Q109" s="11">
        <v>45160</v>
      </c>
      <c r="R109" s="33">
        <v>65198.74</v>
      </c>
    </row>
    <row r="110" spans="17:18" x14ac:dyDescent="0.35">
      <c r="Q110" s="12" t="s">
        <v>12</v>
      </c>
      <c r="R110" s="33">
        <v>65198.74</v>
      </c>
    </row>
    <row r="111" spans="17:18" x14ac:dyDescent="0.35">
      <c r="Q111" s="13" t="s">
        <v>33</v>
      </c>
      <c r="R111" s="33">
        <v>65198.74</v>
      </c>
    </row>
    <row r="112" spans="17:18" x14ac:dyDescent="0.35">
      <c r="Q112" s="11">
        <v>45161</v>
      </c>
      <c r="R112" s="33">
        <v>65488.67</v>
      </c>
    </row>
    <row r="113" spans="17:18" x14ac:dyDescent="0.35">
      <c r="Q113" s="12" t="s">
        <v>11</v>
      </c>
      <c r="R113" s="33">
        <v>65488.67</v>
      </c>
    </row>
    <row r="114" spans="17:18" x14ac:dyDescent="0.35">
      <c r="Q114" s="13" t="s">
        <v>32</v>
      </c>
      <c r="R114" s="33">
        <v>65488.67</v>
      </c>
    </row>
    <row r="115" spans="17:18" x14ac:dyDescent="0.35">
      <c r="Q115" s="11">
        <v>45162</v>
      </c>
      <c r="R115" s="33">
        <v>65493.1</v>
      </c>
    </row>
    <row r="116" spans="17:18" x14ac:dyDescent="0.35">
      <c r="Q116" s="12" t="s">
        <v>10</v>
      </c>
      <c r="R116" s="33">
        <v>65493.1</v>
      </c>
    </row>
    <row r="117" spans="17:18" x14ac:dyDescent="0.35">
      <c r="Q117" s="13" t="s">
        <v>31</v>
      </c>
      <c r="R117" s="33">
        <v>65493.1</v>
      </c>
    </row>
    <row r="118" spans="17:18" x14ac:dyDescent="0.35">
      <c r="Q118" s="11">
        <v>45163</v>
      </c>
      <c r="R118" s="33">
        <v>65401.82</v>
      </c>
    </row>
    <row r="119" spans="17:18" x14ac:dyDescent="0.35">
      <c r="Q119" s="12" t="s">
        <v>9</v>
      </c>
      <c r="R119" s="33">
        <v>65401.82</v>
      </c>
    </row>
    <row r="120" spans="17:18" x14ac:dyDescent="0.35">
      <c r="Q120" s="13" t="s">
        <v>30</v>
      </c>
      <c r="R120" s="33">
        <v>65401.82</v>
      </c>
    </row>
    <row r="121" spans="17:18" x14ac:dyDescent="0.35">
      <c r="Q121" s="11">
        <v>45166</v>
      </c>
      <c r="R121" s="33">
        <v>65558.91</v>
      </c>
    </row>
    <row r="122" spans="17:18" x14ac:dyDescent="0.35">
      <c r="Q122" s="12" t="s">
        <v>8</v>
      </c>
      <c r="R122" s="33">
        <v>65558.91</v>
      </c>
    </row>
    <row r="123" spans="17:18" x14ac:dyDescent="0.35">
      <c r="Q123" s="13" t="s">
        <v>29</v>
      </c>
      <c r="R123" s="33">
        <v>65558.91</v>
      </c>
    </row>
    <row r="124" spans="17:18" x14ac:dyDescent="0.35">
      <c r="Q124" s="11" t="s">
        <v>36</v>
      </c>
      <c r="R124" s="33">
        <v>1299589.06</v>
      </c>
    </row>
  </sheetData>
  <mergeCells count="2">
    <mergeCell ref="A1:H1"/>
    <mergeCell ref="P19:S19"/>
  </mergeCells>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BC65A-2BB3-48D6-A996-65AAE20E7DD1}">
  <sheetPr codeName="Sheet3"/>
  <dimension ref="B2:I26"/>
  <sheetViews>
    <sheetView zoomScale="70" workbookViewId="0">
      <selection activeCell="L15" sqref="L15"/>
    </sheetView>
  </sheetViews>
  <sheetFormatPr defaultRowHeight="14.5" x14ac:dyDescent="0.35"/>
  <cols>
    <col min="2" max="2" width="12.81640625" customWidth="1"/>
    <col min="3" max="3" width="13.1796875" customWidth="1"/>
    <col min="4" max="4" width="12.7265625" customWidth="1"/>
    <col min="5" max="5" width="13.453125" customWidth="1"/>
    <col min="6" max="6" width="13.7265625" customWidth="1"/>
    <col min="7" max="7" width="11.453125" customWidth="1"/>
    <col min="8" max="8" width="12.81640625" customWidth="1"/>
    <col min="9" max="9" width="10.81640625" customWidth="1"/>
  </cols>
  <sheetData>
    <row r="2" spans="2:9" x14ac:dyDescent="0.35">
      <c r="B2" s="30" t="s">
        <v>48</v>
      </c>
      <c r="C2" s="30"/>
      <c r="D2" s="30"/>
      <c r="E2" s="30"/>
      <c r="F2" s="30"/>
      <c r="G2" s="30"/>
    </row>
    <row r="3" spans="2:9" x14ac:dyDescent="0.35">
      <c r="B3" s="30" t="s">
        <v>49</v>
      </c>
      <c r="C3" s="30"/>
      <c r="D3" s="30"/>
    </row>
    <row r="5" spans="2:9" ht="15" thickBot="1" x14ac:dyDescent="0.4"/>
    <row r="6" spans="2:9" ht="18.5" x14ac:dyDescent="0.35">
      <c r="B6" s="15" t="s">
        <v>1</v>
      </c>
      <c r="C6" s="16" t="s">
        <v>2</v>
      </c>
      <c r="D6" s="16" t="s">
        <v>3</v>
      </c>
      <c r="E6" s="16" t="s">
        <v>4</v>
      </c>
      <c r="F6" s="16" t="s">
        <v>5</v>
      </c>
      <c r="G6" s="16" t="s">
        <v>6</v>
      </c>
      <c r="H6" s="16" t="s">
        <v>28</v>
      </c>
      <c r="I6" s="17" t="s">
        <v>7</v>
      </c>
    </row>
    <row r="7" spans="2:9" x14ac:dyDescent="0.35">
      <c r="B7" s="28">
        <v>45166</v>
      </c>
      <c r="C7" s="18">
        <v>65558.91</v>
      </c>
      <c r="D7" s="18">
        <v>65924.67</v>
      </c>
      <c r="E7" s="18">
        <v>65558.91</v>
      </c>
      <c r="F7" s="19">
        <v>65909.179999999993</v>
      </c>
      <c r="G7" s="20" t="s">
        <v>8</v>
      </c>
      <c r="H7" s="20" t="s">
        <v>29</v>
      </c>
      <c r="I7" s="25">
        <v>5.3E-3</v>
      </c>
    </row>
    <row r="8" spans="2:9" x14ac:dyDescent="0.35">
      <c r="B8" s="28">
        <v>45163</v>
      </c>
      <c r="C8" s="18">
        <v>65401.82</v>
      </c>
      <c r="D8" s="18">
        <v>65585.279999999999</v>
      </c>
      <c r="E8" s="18">
        <v>65401.82</v>
      </c>
      <c r="F8" s="19">
        <v>65558.91</v>
      </c>
      <c r="G8" s="20" t="s">
        <v>9</v>
      </c>
      <c r="H8" s="20" t="s">
        <v>30</v>
      </c>
      <c r="I8" s="25">
        <v>2.3999999999999998E-3</v>
      </c>
    </row>
    <row r="9" spans="2:9" x14ac:dyDescent="0.35">
      <c r="B9" s="28">
        <v>45162</v>
      </c>
      <c r="C9" s="18">
        <v>65493.1</v>
      </c>
      <c r="D9" s="18">
        <v>66185.039999999994</v>
      </c>
      <c r="E9" s="18">
        <v>65374.39</v>
      </c>
      <c r="F9" s="21">
        <v>65401.82</v>
      </c>
      <c r="G9" s="20" t="s">
        <v>10</v>
      </c>
      <c r="H9" s="20" t="s">
        <v>31</v>
      </c>
      <c r="I9" s="26">
        <v>-1.4E-3</v>
      </c>
    </row>
    <row r="10" spans="2:9" x14ac:dyDescent="0.35">
      <c r="B10" s="28">
        <v>45161</v>
      </c>
      <c r="C10" s="18">
        <v>65488.67</v>
      </c>
      <c r="D10" s="18">
        <v>65567.61</v>
      </c>
      <c r="E10" s="18">
        <v>65416.76</v>
      </c>
      <c r="F10" s="19">
        <v>65492.92</v>
      </c>
      <c r="G10" s="20" t="s">
        <v>11</v>
      </c>
      <c r="H10" s="20" t="s">
        <v>32</v>
      </c>
      <c r="I10" s="25">
        <v>1E-4</v>
      </c>
    </row>
    <row r="11" spans="2:9" x14ac:dyDescent="0.35">
      <c r="B11" s="28">
        <v>45160</v>
      </c>
      <c r="C11" s="18">
        <v>65198.74</v>
      </c>
      <c r="D11" s="18">
        <v>65672.679999999993</v>
      </c>
      <c r="E11" s="18">
        <v>65191.01</v>
      </c>
      <c r="F11" s="19">
        <v>65488.67</v>
      </c>
      <c r="G11" s="20" t="s">
        <v>12</v>
      </c>
      <c r="H11" s="20" t="s">
        <v>33</v>
      </c>
      <c r="I11" s="25">
        <v>4.4000000000000003E-3</v>
      </c>
    </row>
    <row r="12" spans="2:9" x14ac:dyDescent="0.35">
      <c r="B12" s="28">
        <v>45159</v>
      </c>
      <c r="C12" s="18">
        <v>64721.09</v>
      </c>
      <c r="D12" s="18">
        <v>65202.41</v>
      </c>
      <c r="E12" s="18">
        <v>64690.33</v>
      </c>
      <c r="F12" s="19">
        <v>65202.41</v>
      </c>
      <c r="G12" s="20" t="s">
        <v>13</v>
      </c>
      <c r="H12" s="20" t="s">
        <v>34</v>
      </c>
      <c r="I12" s="25">
        <v>7.1000000000000004E-3</v>
      </c>
    </row>
    <row r="13" spans="2:9" x14ac:dyDescent="0.35">
      <c r="B13" s="28">
        <v>45156</v>
      </c>
      <c r="C13" s="18">
        <v>64469.75</v>
      </c>
      <c r="D13" s="18">
        <v>64784.47</v>
      </c>
      <c r="E13" s="18">
        <v>64450.400000000001</v>
      </c>
      <c r="F13" s="19">
        <v>64743.96</v>
      </c>
      <c r="G13" s="20" t="s">
        <v>14</v>
      </c>
      <c r="H13" s="20" t="s">
        <v>29</v>
      </c>
      <c r="I13" s="25">
        <v>1.1999999999999999E-3</v>
      </c>
    </row>
    <row r="14" spans="2:9" x14ac:dyDescent="0.35">
      <c r="B14" s="28">
        <v>45155</v>
      </c>
      <c r="C14" s="18">
        <v>64625.279999999999</v>
      </c>
      <c r="D14" s="18">
        <v>64663.78</v>
      </c>
      <c r="E14" s="18">
        <v>64452.84</v>
      </c>
      <c r="F14" s="19">
        <v>64663.78</v>
      </c>
      <c r="G14" s="20" t="s">
        <v>15</v>
      </c>
      <c r="H14" s="20" t="s">
        <v>31</v>
      </c>
      <c r="I14" s="25">
        <v>5.9999999999999995E-4</v>
      </c>
    </row>
    <row r="15" spans="2:9" x14ac:dyDescent="0.35">
      <c r="B15" s="28">
        <v>45154</v>
      </c>
      <c r="C15" s="18">
        <v>64928.98</v>
      </c>
      <c r="D15" s="18">
        <v>65128.21</v>
      </c>
      <c r="E15" s="18">
        <v>64549.58</v>
      </c>
      <c r="F15" s="21">
        <v>64625.279999999999</v>
      </c>
      <c r="G15" s="20" t="s">
        <v>16</v>
      </c>
      <c r="H15" s="20" t="s">
        <v>31</v>
      </c>
      <c r="I15" s="26">
        <v>-4.7000000000000002E-3</v>
      </c>
    </row>
    <row r="16" spans="2:9" x14ac:dyDescent="0.35">
      <c r="B16" s="28">
        <v>45153</v>
      </c>
      <c r="C16" s="18">
        <v>65023.8</v>
      </c>
      <c r="D16" s="18">
        <v>65028.46</v>
      </c>
      <c r="E16" s="18">
        <v>64860.22</v>
      </c>
      <c r="F16" s="21">
        <v>64928.98</v>
      </c>
      <c r="G16" s="20" t="s">
        <v>17</v>
      </c>
      <c r="H16" s="20" t="s">
        <v>31</v>
      </c>
      <c r="I16" s="26">
        <v>-4.3E-3</v>
      </c>
    </row>
    <row r="17" spans="2:9" x14ac:dyDescent="0.35">
      <c r="B17" s="28">
        <v>45152</v>
      </c>
      <c r="C17" s="18">
        <v>65325.37</v>
      </c>
      <c r="D17" s="18">
        <v>65358.76</v>
      </c>
      <c r="E17" s="18">
        <v>65183.22</v>
      </c>
      <c r="F17" s="21">
        <v>65210.49</v>
      </c>
      <c r="G17" s="20" t="s">
        <v>18</v>
      </c>
      <c r="H17" s="20" t="s">
        <v>32</v>
      </c>
      <c r="I17" s="26">
        <v>-1.8E-3</v>
      </c>
    </row>
    <row r="18" spans="2:9" x14ac:dyDescent="0.35">
      <c r="B18" s="28">
        <v>45149</v>
      </c>
      <c r="C18" s="18">
        <v>65204.82</v>
      </c>
      <c r="D18" s="18">
        <v>65352.7</v>
      </c>
      <c r="E18" s="18">
        <v>65189.91</v>
      </c>
      <c r="F18" s="19">
        <v>65325.37</v>
      </c>
      <c r="G18" s="20" t="s">
        <v>19</v>
      </c>
      <c r="H18" s="20" t="s">
        <v>32</v>
      </c>
      <c r="I18" s="25">
        <v>1.8E-3</v>
      </c>
    </row>
    <row r="19" spans="2:9" x14ac:dyDescent="0.35">
      <c r="B19" s="28">
        <v>45148</v>
      </c>
      <c r="C19" s="18">
        <v>64167.39</v>
      </c>
      <c r="D19" s="18">
        <v>65205.35</v>
      </c>
      <c r="E19" s="18">
        <v>64154.19</v>
      </c>
      <c r="F19" s="19">
        <v>65205.35</v>
      </c>
      <c r="G19" s="20" t="s">
        <v>20</v>
      </c>
      <c r="H19" s="20" t="s">
        <v>33</v>
      </c>
      <c r="I19" s="25">
        <v>1.6199999999999999E-2</v>
      </c>
    </row>
    <row r="20" spans="2:9" x14ac:dyDescent="0.35">
      <c r="B20" s="28">
        <v>45147</v>
      </c>
      <c r="C20" s="18">
        <v>65385.45</v>
      </c>
      <c r="D20" s="18">
        <v>65396.93</v>
      </c>
      <c r="E20" s="18">
        <v>64167.39</v>
      </c>
      <c r="F20" s="21">
        <v>64167.39</v>
      </c>
      <c r="G20" s="20" t="s">
        <v>21</v>
      </c>
      <c r="H20" s="20" t="s">
        <v>33</v>
      </c>
      <c r="I20" s="26">
        <v>-1.7500000000000002E-2</v>
      </c>
    </row>
    <row r="21" spans="2:9" x14ac:dyDescent="0.35">
      <c r="B21" s="28">
        <v>45146</v>
      </c>
      <c r="C21" s="18">
        <v>65336.71</v>
      </c>
      <c r="D21" s="18">
        <v>65393.68</v>
      </c>
      <c r="E21" s="18">
        <v>65212.959999999999</v>
      </c>
      <c r="F21" s="21">
        <v>65309.65</v>
      </c>
      <c r="G21" s="20" t="s">
        <v>22</v>
      </c>
      <c r="H21" s="20" t="s">
        <v>34</v>
      </c>
      <c r="I21" s="26">
        <v>-4.0000000000000002E-4</v>
      </c>
    </row>
    <row r="22" spans="2:9" x14ac:dyDescent="0.35">
      <c r="B22" s="28">
        <v>45145</v>
      </c>
      <c r="C22" s="18">
        <v>65198.080000000002</v>
      </c>
      <c r="D22" s="18">
        <v>65340.27</v>
      </c>
      <c r="E22" s="18">
        <v>65192.01</v>
      </c>
      <c r="F22" s="19">
        <v>65336.800000000003</v>
      </c>
      <c r="G22" s="20" t="s">
        <v>23</v>
      </c>
      <c r="H22" s="20" t="s">
        <v>30</v>
      </c>
      <c r="I22" s="25">
        <v>2.0999999999999999E-3</v>
      </c>
    </row>
    <row r="23" spans="2:9" x14ac:dyDescent="0.35">
      <c r="B23" s="28">
        <v>45142</v>
      </c>
      <c r="C23" s="18">
        <v>65263.06</v>
      </c>
      <c r="D23" s="18">
        <v>65309.66</v>
      </c>
      <c r="E23" s="18">
        <v>64910.29</v>
      </c>
      <c r="F23" s="21">
        <v>65198.080000000002</v>
      </c>
      <c r="G23" s="20" t="s">
        <v>24</v>
      </c>
      <c r="H23" s="20" t="s">
        <v>34</v>
      </c>
      <c r="I23" s="26">
        <v>-1E-3</v>
      </c>
    </row>
    <row r="24" spans="2:9" x14ac:dyDescent="0.35">
      <c r="B24" s="28">
        <v>45141</v>
      </c>
      <c r="C24" s="18">
        <v>64267.360000000001</v>
      </c>
      <c r="D24" s="18">
        <v>65323.199999999997</v>
      </c>
      <c r="E24" s="18">
        <v>64267.360000000001</v>
      </c>
      <c r="F24" s="19">
        <v>65263.06</v>
      </c>
      <c r="G24" s="20" t="s">
        <v>25</v>
      </c>
      <c r="H24" s="20" t="s">
        <v>29</v>
      </c>
      <c r="I24" s="25">
        <v>1.55E-2</v>
      </c>
    </row>
    <row r="25" spans="2:9" x14ac:dyDescent="0.35">
      <c r="B25" s="28">
        <v>45140</v>
      </c>
      <c r="C25" s="18">
        <v>64193.38</v>
      </c>
      <c r="D25" s="18">
        <v>64301.59</v>
      </c>
      <c r="E25" s="18">
        <v>63773.760000000002</v>
      </c>
      <c r="F25" s="19">
        <v>64267.360000000001</v>
      </c>
      <c r="G25" s="20" t="s">
        <v>26</v>
      </c>
      <c r="H25" s="20" t="s">
        <v>29</v>
      </c>
      <c r="I25" s="25">
        <v>1.1999999999999999E-3</v>
      </c>
    </row>
    <row r="26" spans="2:9" ht="15" thickBot="1" x14ac:dyDescent="0.4">
      <c r="B26" s="29">
        <v>45139</v>
      </c>
      <c r="C26" s="22">
        <v>64337.3</v>
      </c>
      <c r="D26" s="22">
        <v>64340.24</v>
      </c>
      <c r="E26" s="22">
        <v>64003.17</v>
      </c>
      <c r="F26" s="23">
        <v>64192.2</v>
      </c>
      <c r="G26" s="24" t="s">
        <v>27</v>
      </c>
      <c r="H26" s="24" t="s">
        <v>32</v>
      </c>
      <c r="I26" s="27">
        <v>-2.3E-3</v>
      </c>
    </row>
  </sheetData>
  <mergeCells count="2">
    <mergeCell ref="B2:G2"/>
    <mergeCell ref="B3:D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D28735-94D9-44DA-94CF-7F3412A61A76}">
  <sheetPr codeName="Sheet4"/>
  <dimension ref="A2:K45"/>
  <sheetViews>
    <sheetView topLeftCell="A7" zoomScale="87" zoomScaleNormal="87" workbookViewId="0">
      <selection activeCell="A2" sqref="A2:H17"/>
    </sheetView>
  </sheetViews>
  <sheetFormatPr defaultRowHeight="14.5" x14ac:dyDescent="0.35"/>
  <cols>
    <col min="1" max="1" width="20.81640625" bestFit="1" customWidth="1"/>
    <col min="2" max="2" width="17.36328125" customWidth="1"/>
    <col min="3" max="3" width="20.81640625" bestFit="1" customWidth="1"/>
    <col min="5" max="5" width="13.36328125" bestFit="1" customWidth="1"/>
    <col min="6" max="6" width="12" customWidth="1"/>
    <col min="7" max="7" width="10.7265625" bestFit="1" customWidth="1"/>
    <col min="8" max="8" width="20.26953125" bestFit="1" customWidth="1"/>
    <col min="9" max="9" width="13.36328125" bestFit="1" customWidth="1"/>
    <col min="10" max="10" width="22.90625" bestFit="1" customWidth="1"/>
    <col min="11" max="11" width="10.36328125" bestFit="1" customWidth="1"/>
    <col min="12" max="12" width="10.54296875" bestFit="1" customWidth="1"/>
    <col min="13" max="17" width="10.08984375" bestFit="1" customWidth="1"/>
    <col min="18" max="24" width="11.08984375" bestFit="1" customWidth="1"/>
    <col min="25" max="25" width="11.7265625" bestFit="1" customWidth="1"/>
    <col min="26" max="26" width="14.7265625" bestFit="1" customWidth="1"/>
    <col min="27" max="27" width="12.7265625" bestFit="1" customWidth="1"/>
    <col min="28" max="28" width="15.7265625" bestFit="1" customWidth="1"/>
    <col min="29" max="29" width="12.7265625" bestFit="1" customWidth="1"/>
    <col min="30" max="30" width="15.7265625" bestFit="1" customWidth="1"/>
    <col min="31" max="31" width="12.7265625" bestFit="1" customWidth="1"/>
    <col min="32" max="32" width="15.7265625" bestFit="1" customWidth="1"/>
    <col min="33" max="33" width="12.7265625" bestFit="1" customWidth="1"/>
    <col min="34" max="34" width="15.7265625" bestFit="1" customWidth="1"/>
    <col min="35" max="35" width="12.7265625" bestFit="1" customWidth="1"/>
    <col min="36" max="36" width="15.7265625" bestFit="1" customWidth="1"/>
    <col min="37" max="37" width="12.7265625" bestFit="1" customWidth="1"/>
    <col min="38" max="38" width="15.7265625" bestFit="1" customWidth="1"/>
    <col min="39" max="39" width="10.7265625" bestFit="1" customWidth="1"/>
  </cols>
  <sheetData>
    <row r="2" spans="1:8" x14ac:dyDescent="0.35">
      <c r="A2" s="48" t="s">
        <v>50</v>
      </c>
      <c r="B2" s="49" t="s">
        <v>46</v>
      </c>
      <c r="C2" s="49" t="s">
        <v>51</v>
      </c>
      <c r="D2" s="49" t="s">
        <v>70</v>
      </c>
      <c r="E2" s="49" t="s">
        <v>71</v>
      </c>
      <c r="F2" s="49" t="s">
        <v>72</v>
      </c>
      <c r="G2" s="49" t="s">
        <v>80</v>
      </c>
      <c r="H2" s="40" t="s">
        <v>93</v>
      </c>
    </row>
    <row r="3" spans="1:8" x14ac:dyDescent="0.35">
      <c r="A3" s="45">
        <v>1</v>
      </c>
      <c r="B3" s="42" t="s">
        <v>55</v>
      </c>
      <c r="C3" s="42" t="e" vm="1">
        <v>#VALUE!</v>
      </c>
      <c r="D3" s="42">
        <v>20</v>
      </c>
      <c r="E3" s="43">
        <v>1000000</v>
      </c>
      <c r="F3" s="42" t="s">
        <v>73</v>
      </c>
      <c r="G3" s="44">
        <v>45198</v>
      </c>
      <c r="H3" s="47">
        <f>EDATE(G3,-4)</f>
        <v>45075</v>
      </c>
    </row>
    <row r="4" spans="1:8" x14ac:dyDescent="0.35">
      <c r="A4" s="45">
        <v>2</v>
      </c>
      <c r="B4" s="42" t="s">
        <v>56</v>
      </c>
      <c r="C4" s="42" t="e" vm="2">
        <v>#VALUE!</v>
      </c>
      <c r="D4" s="42">
        <v>24</v>
      </c>
      <c r="E4" s="43">
        <v>2000000</v>
      </c>
      <c r="F4" s="42" t="s">
        <v>74</v>
      </c>
      <c r="G4" s="44">
        <v>45229</v>
      </c>
      <c r="H4" s="47">
        <f t="shared" ref="H4:H19" si="0">EDATE(G4,-4)</f>
        <v>45107</v>
      </c>
    </row>
    <row r="5" spans="1:8" x14ac:dyDescent="0.35">
      <c r="A5" s="45">
        <v>3</v>
      </c>
      <c r="B5" s="42" t="s">
        <v>57</v>
      </c>
      <c r="C5" s="42" t="e" vm="3">
        <v>#VALUE!</v>
      </c>
      <c r="D5" s="42">
        <v>25</v>
      </c>
      <c r="E5" s="43">
        <v>3000000</v>
      </c>
      <c r="F5" s="42" t="s">
        <v>75</v>
      </c>
      <c r="G5" s="44">
        <v>45292</v>
      </c>
      <c r="H5" s="47">
        <f t="shared" si="0"/>
        <v>45170</v>
      </c>
    </row>
    <row r="6" spans="1:8" x14ac:dyDescent="0.35">
      <c r="A6" s="45">
        <v>4</v>
      </c>
      <c r="B6" s="42" t="s">
        <v>58</v>
      </c>
      <c r="C6" s="42" t="e" vm="4">
        <v>#VALUE!</v>
      </c>
      <c r="D6" s="42">
        <v>23</v>
      </c>
      <c r="E6" s="43">
        <v>4000000</v>
      </c>
      <c r="F6" s="42" t="s">
        <v>76</v>
      </c>
      <c r="G6" s="44">
        <v>45324</v>
      </c>
      <c r="H6" s="47">
        <f t="shared" si="0"/>
        <v>45201</v>
      </c>
    </row>
    <row r="7" spans="1:8" x14ac:dyDescent="0.35">
      <c r="A7" s="45">
        <v>5</v>
      </c>
      <c r="B7" s="42" t="s">
        <v>59</v>
      </c>
      <c r="C7" s="42" t="e" vm="5">
        <v>#VALUE!</v>
      </c>
      <c r="D7" s="42">
        <v>28</v>
      </c>
      <c r="E7" s="43">
        <v>5000000</v>
      </c>
      <c r="F7" s="42" t="s">
        <v>77</v>
      </c>
      <c r="G7" s="44">
        <v>45356</v>
      </c>
      <c r="H7" s="47">
        <f t="shared" si="0"/>
        <v>45235</v>
      </c>
    </row>
    <row r="8" spans="1:8" x14ac:dyDescent="0.35">
      <c r="A8" s="45">
        <v>6</v>
      </c>
      <c r="B8" s="42" t="s">
        <v>60</v>
      </c>
      <c r="C8" s="42" t="e" vm="6">
        <v>#VALUE!</v>
      </c>
      <c r="D8" s="42">
        <v>29</v>
      </c>
      <c r="E8" s="43">
        <v>6000000</v>
      </c>
      <c r="F8" s="42" t="s">
        <v>78</v>
      </c>
      <c r="G8" s="44">
        <v>45388</v>
      </c>
      <c r="H8" s="47">
        <f t="shared" si="0"/>
        <v>45266</v>
      </c>
    </row>
    <row r="9" spans="1:8" x14ac:dyDescent="0.35">
      <c r="A9" s="45">
        <v>7</v>
      </c>
      <c r="B9" s="42" t="s">
        <v>61</v>
      </c>
      <c r="C9" s="42" t="e" vm="7">
        <v>#VALUE!</v>
      </c>
      <c r="D9" s="42">
        <v>40</v>
      </c>
      <c r="E9" s="43">
        <v>7000000</v>
      </c>
      <c r="F9" s="42" t="s">
        <v>79</v>
      </c>
      <c r="G9" s="44">
        <v>45389</v>
      </c>
      <c r="H9" s="47">
        <f t="shared" si="0"/>
        <v>45267</v>
      </c>
    </row>
    <row r="10" spans="1:8" x14ac:dyDescent="0.35">
      <c r="A10" s="45">
        <v>8</v>
      </c>
      <c r="B10" s="42" t="s">
        <v>62</v>
      </c>
      <c r="C10" s="42" t="e" vm="1">
        <v>#VALUE!</v>
      </c>
      <c r="D10" s="42">
        <v>34</v>
      </c>
      <c r="E10" s="43">
        <v>8000000</v>
      </c>
      <c r="F10" s="42" t="s">
        <v>73</v>
      </c>
      <c r="G10" s="44">
        <v>45198</v>
      </c>
      <c r="H10" s="47">
        <f>EDATE(G10,-6)</f>
        <v>45014</v>
      </c>
    </row>
    <row r="11" spans="1:8" x14ac:dyDescent="0.35">
      <c r="A11" s="45">
        <v>9</v>
      </c>
      <c r="B11" s="42" t="s">
        <v>63</v>
      </c>
      <c r="C11" s="42" t="e" vm="3">
        <v>#VALUE!</v>
      </c>
      <c r="D11" s="42">
        <v>38</v>
      </c>
      <c r="E11" s="43">
        <v>9000000</v>
      </c>
      <c r="F11" s="42" t="s">
        <v>76</v>
      </c>
      <c r="G11" s="44">
        <v>45324</v>
      </c>
      <c r="H11" s="47">
        <f>EDATE(G11,-5)</f>
        <v>45171</v>
      </c>
    </row>
    <row r="12" spans="1:8" x14ac:dyDescent="0.35">
      <c r="A12" s="45">
        <v>10</v>
      </c>
      <c r="B12" s="42" t="s">
        <v>64</v>
      </c>
      <c r="C12" s="42" t="e" vm="3">
        <v>#VALUE!</v>
      </c>
      <c r="D12" s="42">
        <v>45</v>
      </c>
      <c r="E12" s="43">
        <v>10000000</v>
      </c>
      <c r="F12" s="42" t="s">
        <v>78</v>
      </c>
      <c r="G12" s="44">
        <v>45388</v>
      </c>
      <c r="H12" s="47">
        <f>EDATE(G12,-2)</f>
        <v>45328</v>
      </c>
    </row>
    <row r="13" spans="1:8" x14ac:dyDescent="0.35">
      <c r="A13" s="45">
        <v>11</v>
      </c>
      <c r="B13" s="42" t="s">
        <v>65</v>
      </c>
      <c r="C13" s="42" t="e" vm="5">
        <v>#VALUE!</v>
      </c>
      <c r="D13" s="42">
        <v>35</v>
      </c>
      <c r="E13" s="43">
        <v>11000000</v>
      </c>
      <c r="F13" s="42" t="s">
        <v>75</v>
      </c>
      <c r="G13" s="44">
        <v>45292</v>
      </c>
      <c r="H13" s="47">
        <f>EDATE(G13,-5)</f>
        <v>45139</v>
      </c>
    </row>
    <row r="14" spans="1:8" x14ac:dyDescent="0.35">
      <c r="A14" s="45">
        <v>12</v>
      </c>
      <c r="B14" s="42" t="s">
        <v>66</v>
      </c>
      <c r="C14" s="42" t="e" vm="8">
        <v>#VALUE!</v>
      </c>
      <c r="D14" s="42">
        <v>37</v>
      </c>
      <c r="E14" s="43">
        <v>12000000</v>
      </c>
      <c r="F14" s="42" t="s">
        <v>75</v>
      </c>
      <c r="G14" s="44">
        <v>45292</v>
      </c>
      <c r="H14" s="47">
        <f>EDATE(G14,-1)</f>
        <v>45261</v>
      </c>
    </row>
    <row r="15" spans="1:8" x14ac:dyDescent="0.35">
      <c r="A15" s="45">
        <v>13</v>
      </c>
      <c r="B15" s="42" t="s">
        <v>67</v>
      </c>
      <c r="C15" s="42" t="e" vm="5">
        <v>#VALUE!</v>
      </c>
      <c r="D15" s="42">
        <v>26</v>
      </c>
      <c r="E15" s="43">
        <v>13000000</v>
      </c>
      <c r="F15" s="42" t="s">
        <v>77</v>
      </c>
      <c r="G15" s="44">
        <v>45356</v>
      </c>
      <c r="H15" s="47">
        <f>EDATE(G15,-7)</f>
        <v>45143</v>
      </c>
    </row>
    <row r="16" spans="1:8" x14ac:dyDescent="0.35">
      <c r="A16" s="45">
        <v>14</v>
      </c>
      <c r="B16" s="42" t="s">
        <v>68</v>
      </c>
      <c r="C16" s="42" t="e" vm="9">
        <v>#VALUE!</v>
      </c>
      <c r="D16" s="42">
        <v>25</v>
      </c>
      <c r="E16" s="43">
        <v>14000000</v>
      </c>
      <c r="F16" s="42" t="s">
        <v>74</v>
      </c>
      <c r="G16" s="44">
        <v>45229</v>
      </c>
      <c r="H16" s="47">
        <f>EDATE(G16,-7)</f>
        <v>45015</v>
      </c>
    </row>
    <row r="17" spans="1:11" x14ac:dyDescent="0.35">
      <c r="A17" s="39">
        <v>15</v>
      </c>
      <c r="B17" s="50" t="s">
        <v>69</v>
      </c>
      <c r="C17" s="50" t="e" vm="7">
        <v>#VALUE!</v>
      </c>
      <c r="D17" s="50">
        <v>29</v>
      </c>
      <c r="E17" s="51">
        <v>15000000</v>
      </c>
      <c r="F17" s="50" t="s">
        <v>75</v>
      </c>
      <c r="G17" s="52">
        <v>45292</v>
      </c>
      <c r="H17" s="53">
        <f>EDATE(G17,-8)</f>
        <v>45047</v>
      </c>
    </row>
    <row r="18" spans="1:11" x14ac:dyDescent="0.35">
      <c r="H18" s="32"/>
    </row>
    <row r="19" spans="1:11" x14ac:dyDescent="0.35">
      <c r="A19" s="41" t="s">
        <v>52</v>
      </c>
      <c r="B19" s="48" t="s">
        <v>81</v>
      </c>
      <c r="C19" s="40" t="s">
        <v>80</v>
      </c>
      <c r="H19" s="32"/>
    </row>
    <row r="20" spans="1:11" x14ac:dyDescent="0.35">
      <c r="A20" s="54" t="e" vm="1">
        <v>#VALUE!</v>
      </c>
      <c r="B20" s="45" t="s">
        <v>73</v>
      </c>
      <c r="C20" s="47">
        <v>45198</v>
      </c>
    </row>
    <row r="21" spans="1:11" x14ac:dyDescent="0.35">
      <c r="A21" s="54" t="e" vm="2">
        <v>#VALUE!</v>
      </c>
      <c r="B21" s="45" t="s">
        <v>74</v>
      </c>
      <c r="C21" s="47">
        <v>45229</v>
      </c>
    </row>
    <row r="22" spans="1:11" x14ac:dyDescent="0.35">
      <c r="A22" s="54" t="e" vm="3">
        <v>#VALUE!</v>
      </c>
      <c r="B22" s="45" t="s">
        <v>75</v>
      </c>
      <c r="C22" s="47">
        <v>45292</v>
      </c>
    </row>
    <row r="23" spans="1:11" x14ac:dyDescent="0.35">
      <c r="A23" s="54" t="e" vm="4">
        <v>#VALUE!</v>
      </c>
      <c r="B23" s="45" t="s">
        <v>76</v>
      </c>
      <c r="C23" s="47">
        <v>45324</v>
      </c>
    </row>
    <row r="24" spans="1:11" x14ac:dyDescent="0.35">
      <c r="A24" s="54" t="e" vm="8">
        <v>#VALUE!</v>
      </c>
      <c r="B24" s="45" t="s">
        <v>77</v>
      </c>
      <c r="C24" s="47">
        <v>45356</v>
      </c>
    </row>
    <row r="25" spans="1:11" x14ac:dyDescent="0.35">
      <c r="A25" s="54" t="e" vm="5">
        <v>#VALUE!</v>
      </c>
      <c r="B25" s="45" t="s">
        <v>78</v>
      </c>
      <c r="C25" s="47">
        <v>45388</v>
      </c>
      <c r="H25" s="10" t="s">
        <v>80</v>
      </c>
      <c r="I25" t="s">
        <v>38</v>
      </c>
    </row>
    <row r="26" spans="1:11" x14ac:dyDescent="0.35">
      <c r="A26" s="54" t="e" vm="10">
        <v>#VALUE!</v>
      </c>
      <c r="B26" s="39" t="s">
        <v>79</v>
      </c>
      <c r="C26" s="53">
        <v>45420</v>
      </c>
      <c r="H26" s="10" t="s">
        <v>51</v>
      </c>
      <c r="I26" t="s">
        <v>38</v>
      </c>
    </row>
    <row r="27" spans="1:11" x14ac:dyDescent="0.35">
      <c r="A27" s="54" t="e" vm="9">
        <v>#VALUE!</v>
      </c>
    </row>
    <row r="28" spans="1:11" x14ac:dyDescent="0.35">
      <c r="A28" s="54" t="e" vm="6">
        <v>#VALUE!</v>
      </c>
      <c r="H28" s="10" t="s">
        <v>35</v>
      </c>
      <c r="I28" t="s">
        <v>94</v>
      </c>
      <c r="J28" t="s">
        <v>95</v>
      </c>
      <c r="K28" t="s">
        <v>92</v>
      </c>
    </row>
    <row r="29" spans="1:11" x14ac:dyDescent="0.35">
      <c r="A29" s="54" t="e" vm="7">
        <v>#VALUE!</v>
      </c>
      <c r="H29" s="34" t="s">
        <v>73</v>
      </c>
      <c r="I29" s="36">
        <v>8000000</v>
      </c>
      <c r="J29" s="32">
        <v>45014</v>
      </c>
      <c r="K29" s="33">
        <v>34</v>
      </c>
    </row>
    <row r="30" spans="1:11" x14ac:dyDescent="0.35">
      <c r="A30" s="38" t="e" vm="11">
        <v>#VALUE!</v>
      </c>
      <c r="H30" s="12" t="s">
        <v>62</v>
      </c>
      <c r="I30" s="36">
        <v>8000000</v>
      </c>
      <c r="J30" s="32">
        <v>45014</v>
      </c>
      <c r="K30" s="33">
        <v>34</v>
      </c>
    </row>
    <row r="31" spans="1:11" x14ac:dyDescent="0.35">
      <c r="H31" s="12" t="s">
        <v>55</v>
      </c>
      <c r="I31" s="36">
        <v>1000000</v>
      </c>
      <c r="J31" s="32">
        <v>45075</v>
      </c>
      <c r="K31" s="33">
        <v>20</v>
      </c>
    </row>
    <row r="32" spans="1:11" x14ac:dyDescent="0.35">
      <c r="H32" s="34" t="s">
        <v>77</v>
      </c>
      <c r="I32" s="36">
        <v>13000000</v>
      </c>
      <c r="J32" s="32">
        <v>45143</v>
      </c>
      <c r="K32" s="33">
        <v>28</v>
      </c>
    </row>
    <row r="33" spans="8:11" x14ac:dyDescent="0.35">
      <c r="H33" s="12" t="s">
        <v>67</v>
      </c>
      <c r="I33" s="36">
        <v>13000000</v>
      </c>
      <c r="J33" s="32">
        <v>45143</v>
      </c>
      <c r="K33" s="33">
        <v>26</v>
      </c>
    </row>
    <row r="34" spans="8:11" x14ac:dyDescent="0.35">
      <c r="H34" s="12" t="s">
        <v>59</v>
      </c>
      <c r="I34" s="36">
        <v>5000000</v>
      </c>
      <c r="J34" s="32">
        <v>45235</v>
      </c>
      <c r="K34" s="33">
        <v>28</v>
      </c>
    </row>
    <row r="35" spans="8:11" x14ac:dyDescent="0.35">
      <c r="H35" s="34" t="s">
        <v>74</v>
      </c>
      <c r="I35" s="36">
        <v>14000000</v>
      </c>
      <c r="J35" s="32">
        <v>45015</v>
      </c>
      <c r="K35" s="33">
        <v>25</v>
      </c>
    </row>
    <row r="36" spans="8:11" x14ac:dyDescent="0.35">
      <c r="H36" s="12" t="s">
        <v>68</v>
      </c>
      <c r="I36" s="36">
        <v>14000000</v>
      </c>
      <c r="J36" s="32">
        <v>45015</v>
      </c>
      <c r="K36" s="33">
        <v>25</v>
      </c>
    </row>
    <row r="37" spans="8:11" x14ac:dyDescent="0.35">
      <c r="H37" s="12" t="s">
        <v>56</v>
      </c>
      <c r="I37" s="36">
        <v>2000000</v>
      </c>
      <c r="J37" s="32">
        <v>45107</v>
      </c>
      <c r="K37" s="33">
        <v>24</v>
      </c>
    </row>
    <row r="38" spans="8:11" x14ac:dyDescent="0.35">
      <c r="H38" s="34" t="s">
        <v>76</v>
      </c>
      <c r="I38" s="36">
        <v>9000000</v>
      </c>
      <c r="J38" s="32">
        <v>45171</v>
      </c>
      <c r="K38" s="33">
        <v>38</v>
      </c>
    </row>
    <row r="39" spans="8:11" x14ac:dyDescent="0.35">
      <c r="H39" s="12" t="s">
        <v>63</v>
      </c>
      <c r="I39" s="36">
        <v>9000000</v>
      </c>
      <c r="J39" s="32">
        <v>45171</v>
      </c>
      <c r="K39" s="33">
        <v>38</v>
      </c>
    </row>
    <row r="40" spans="8:11" x14ac:dyDescent="0.35">
      <c r="H40" s="12" t="s">
        <v>58</v>
      </c>
      <c r="I40" s="36">
        <v>4000000</v>
      </c>
      <c r="J40" s="32">
        <v>45201</v>
      </c>
      <c r="K40" s="33">
        <v>23</v>
      </c>
    </row>
    <row r="41" spans="8:11" x14ac:dyDescent="0.35">
      <c r="H41" s="34" t="s">
        <v>75</v>
      </c>
      <c r="I41" s="36">
        <v>15000000</v>
      </c>
      <c r="J41" s="32">
        <v>45047</v>
      </c>
      <c r="K41" s="33">
        <v>37</v>
      </c>
    </row>
    <row r="42" spans="8:11" x14ac:dyDescent="0.35">
      <c r="H42" s="12" t="s">
        <v>69</v>
      </c>
      <c r="I42" s="36">
        <v>15000000</v>
      </c>
      <c r="J42" s="32">
        <v>45047</v>
      </c>
      <c r="K42" s="33">
        <v>29</v>
      </c>
    </row>
    <row r="43" spans="8:11" x14ac:dyDescent="0.35">
      <c r="H43" s="12" t="s">
        <v>57</v>
      </c>
      <c r="I43" s="36">
        <v>3000000</v>
      </c>
      <c r="J43" s="32">
        <v>45170</v>
      </c>
      <c r="K43" s="33">
        <v>25</v>
      </c>
    </row>
    <row r="44" spans="8:11" x14ac:dyDescent="0.35">
      <c r="H44" s="12" t="s">
        <v>66</v>
      </c>
      <c r="I44" s="36">
        <v>12000000</v>
      </c>
      <c r="J44" s="32">
        <v>45261</v>
      </c>
      <c r="K44" s="33">
        <v>37</v>
      </c>
    </row>
    <row r="45" spans="8:11" x14ac:dyDescent="0.35">
      <c r="H45" s="34" t="s">
        <v>36</v>
      </c>
      <c r="I45" s="36">
        <v>15000000</v>
      </c>
      <c r="J45" s="32">
        <v>45014</v>
      </c>
      <c r="K45" s="33">
        <v>38</v>
      </c>
    </row>
  </sheetData>
  <dataValidations count="2">
    <dataValidation type="list" allowBlank="1" showInputMessage="1" showErrorMessage="1" sqref="C3:C17" xr:uid="{8933D057-BB1E-4CA9-9EDC-CAFE1696180B}">
      <formula1>$A$20:$A$30</formula1>
    </dataValidation>
    <dataValidation type="list" allowBlank="1" showInputMessage="1" showErrorMessage="1" sqref="G3:G17" xr:uid="{6E323ED3-3942-43E6-BED2-9088506B1F8A}">
      <formula1>INDIRECT(F3)</formula1>
    </dataValidation>
  </dataValidations>
  <pageMargins left="0.7" right="0.7" top="0.75" bottom="0.75" header="0.3" footer="0.3"/>
  <drawing r:id="rId2"/>
  <tableParts count="3">
    <tablePart r:id="rId3"/>
    <tablePart r:id="rId4"/>
    <tablePart r:id="rId5"/>
  </tableParts>
  <extLst>
    <ext xmlns:x14="http://schemas.microsoft.com/office/spreadsheetml/2009/9/main" uri="{A8765BA9-456A-4dab-B4F3-ACF838C121DE}">
      <x14:slicerList>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0212B-26E7-4EF0-9755-9B6946A0B1B2}">
  <sheetPr codeName="Sheet1"/>
  <dimension ref="A1:B35"/>
  <sheetViews>
    <sheetView workbookViewId="0">
      <selection activeCell="C17" sqref="C17"/>
    </sheetView>
  </sheetViews>
  <sheetFormatPr defaultRowHeight="14.5" x14ac:dyDescent="0.35"/>
  <cols>
    <col min="1" max="1" width="24.26953125" bestFit="1" customWidth="1"/>
    <col min="2" max="2" width="10.1796875" bestFit="1" customWidth="1"/>
  </cols>
  <sheetData>
    <row r="1" spans="1:2" x14ac:dyDescent="0.35">
      <c r="A1" s="10" t="s">
        <v>51</v>
      </c>
      <c r="B1" t="s">
        <v>38</v>
      </c>
    </row>
    <row r="3" spans="1:2" x14ac:dyDescent="0.35">
      <c r="A3" s="10" t="s">
        <v>35</v>
      </c>
      <c r="B3" t="s">
        <v>92</v>
      </c>
    </row>
    <row r="4" spans="1:2" x14ac:dyDescent="0.35">
      <c r="A4" s="34" t="s">
        <v>82</v>
      </c>
      <c r="B4" s="66">
        <v>40</v>
      </c>
    </row>
    <row r="5" spans="1:2" x14ac:dyDescent="0.35">
      <c r="A5" s="12" t="s">
        <v>86</v>
      </c>
      <c r="B5" s="66">
        <v>34</v>
      </c>
    </row>
    <row r="6" spans="1:2" x14ac:dyDescent="0.35">
      <c r="A6" s="13" t="s">
        <v>91</v>
      </c>
      <c r="B6" s="66">
        <v>34</v>
      </c>
    </row>
    <row r="7" spans="1:2" x14ac:dyDescent="0.35">
      <c r="A7" s="35" t="s">
        <v>62</v>
      </c>
      <c r="B7" s="66">
        <v>34</v>
      </c>
    </row>
    <row r="8" spans="1:2" x14ac:dyDescent="0.35">
      <c r="A8" s="35" t="s">
        <v>68</v>
      </c>
      <c r="B8" s="66">
        <v>25</v>
      </c>
    </row>
    <row r="9" spans="1:2" x14ac:dyDescent="0.35">
      <c r="A9" s="12" t="s">
        <v>90</v>
      </c>
      <c r="B9" s="66">
        <v>29</v>
      </c>
    </row>
    <row r="10" spans="1:2" x14ac:dyDescent="0.35">
      <c r="A10" s="13" t="s">
        <v>98</v>
      </c>
      <c r="B10" s="66">
        <v>29</v>
      </c>
    </row>
    <row r="11" spans="1:2" x14ac:dyDescent="0.35">
      <c r="A11" s="35" t="s">
        <v>69</v>
      </c>
      <c r="B11" s="66">
        <v>29</v>
      </c>
    </row>
    <row r="12" spans="1:2" x14ac:dyDescent="0.35">
      <c r="A12" s="35" t="s">
        <v>55</v>
      </c>
      <c r="B12" s="66">
        <v>20</v>
      </c>
    </row>
    <row r="13" spans="1:2" x14ac:dyDescent="0.35">
      <c r="A13" s="13" t="s">
        <v>99</v>
      </c>
      <c r="B13" s="66">
        <v>24</v>
      </c>
    </row>
    <row r="14" spans="1:2" x14ac:dyDescent="0.35">
      <c r="A14" s="35" t="s">
        <v>56</v>
      </c>
      <c r="B14" s="66">
        <v>24</v>
      </c>
    </row>
    <row r="15" spans="1:2" x14ac:dyDescent="0.35">
      <c r="A15" s="12" t="s">
        <v>83</v>
      </c>
      <c r="B15" s="66">
        <v>38</v>
      </c>
    </row>
    <row r="16" spans="1:2" x14ac:dyDescent="0.35">
      <c r="A16" s="13" t="s">
        <v>100</v>
      </c>
      <c r="B16" s="66">
        <v>35</v>
      </c>
    </row>
    <row r="17" spans="1:2" x14ac:dyDescent="0.35">
      <c r="A17" s="35" t="s">
        <v>65</v>
      </c>
      <c r="B17" s="66">
        <v>35</v>
      </c>
    </row>
    <row r="18" spans="1:2" x14ac:dyDescent="0.35">
      <c r="A18" s="35" t="s">
        <v>67</v>
      </c>
      <c r="B18" s="66">
        <v>26</v>
      </c>
    </row>
    <row r="19" spans="1:2" x14ac:dyDescent="0.35">
      <c r="A19" s="13" t="s">
        <v>84</v>
      </c>
      <c r="B19" s="66">
        <v>38</v>
      </c>
    </row>
    <row r="20" spans="1:2" x14ac:dyDescent="0.35">
      <c r="A20" s="35" t="s">
        <v>63</v>
      </c>
      <c r="B20" s="66">
        <v>38</v>
      </c>
    </row>
    <row r="21" spans="1:2" x14ac:dyDescent="0.35">
      <c r="A21" s="35" t="s">
        <v>57</v>
      </c>
      <c r="B21" s="66">
        <v>25</v>
      </c>
    </row>
    <row r="22" spans="1:2" x14ac:dyDescent="0.35">
      <c r="A22" s="12" t="s">
        <v>88</v>
      </c>
      <c r="B22" s="66">
        <v>40</v>
      </c>
    </row>
    <row r="23" spans="1:2" x14ac:dyDescent="0.35">
      <c r="A23" s="13" t="s">
        <v>89</v>
      </c>
      <c r="B23" s="66">
        <v>23</v>
      </c>
    </row>
    <row r="24" spans="1:2" x14ac:dyDescent="0.35">
      <c r="A24" s="35" t="s">
        <v>58</v>
      </c>
      <c r="B24" s="66">
        <v>23</v>
      </c>
    </row>
    <row r="25" spans="1:2" x14ac:dyDescent="0.35">
      <c r="A25" s="13" t="s">
        <v>101</v>
      </c>
      <c r="B25" s="66">
        <v>28</v>
      </c>
    </row>
    <row r="26" spans="1:2" x14ac:dyDescent="0.35">
      <c r="A26" s="35" t="s">
        <v>59</v>
      </c>
      <c r="B26" s="66">
        <v>28</v>
      </c>
    </row>
    <row r="27" spans="1:2" x14ac:dyDescent="0.35">
      <c r="A27" s="13" t="s">
        <v>102</v>
      </c>
      <c r="B27" s="66">
        <v>40</v>
      </c>
    </row>
    <row r="28" spans="1:2" x14ac:dyDescent="0.35">
      <c r="A28" s="35" t="s">
        <v>66</v>
      </c>
      <c r="B28" s="66">
        <v>37</v>
      </c>
    </row>
    <row r="29" spans="1:2" x14ac:dyDescent="0.35">
      <c r="A29" s="35" t="s">
        <v>60</v>
      </c>
      <c r="B29" s="66">
        <v>29</v>
      </c>
    </row>
    <row r="30" spans="1:2" x14ac:dyDescent="0.35">
      <c r="A30" s="35" t="s">
        <v>61</v>
      </c>
      <c r="B30" s="66">
        <v>40</v>
      </c>
    </row>
    <row r="31" spans="1:2" x14ac:dyDescent="0.35">
      <c r="A31" s="34" t="s">
        <v>85</v>
      </c>
      <c r="B31" s="66">
        <v>45</v>
      </c>
    </row>
    <row r="32" spans="1:2" x14ac:dyDescent="0.35">
      <c r="A32" s="12" t="s">
        <v>86</v>
      </c>
      <c r="B32" s="66">
        <v>45</v>
      </c>
    </row>
    <row r="33" spans="1:2" x14ac:dyDescent="0.35">
      <c r="A33" s="13" t="s">
        <v>87</v>
      </c>
      <c r="B33" s="66">
        <v>45</v>
      </c>
    </row>
    <row r="34" spans="1:2" x14ac:dyDescent="0.35">
      <c r="A34" s="35" t="s">
        <v>64</v>
      </c>
      <c r="B34" s="66">
        <v>45</v>
      </c>
    </row>
    <row r="35" spans="1:2" x14ac:dyDescent="0.35">
      <c r="A35" s="34" t="s">
        <v>36</v>
      </c>
      <c r="B35" s="66">
        <v>45</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DD607-78B4-4247-AC4F-8703EFEF3B32}">
  <sheetPr codeName="Sheet5"/>
  <dimension ref="A2:J19"/>
  <sheetViews>
    <sheetView topLeftCell="A9" workbookViewId="0">
      <selection activeCell="I15" sqref="I15"/>
    </sheetView>
  </sheetViews>
  <sheetFormatPr defaultRowHeight="14.5" x14ac:dyDescent="0.35"/>
  <cols>
    <col min="9" max="9" width="12.36328125" bestFit="1" customWidth="1"/>
    <col min="10" max="10" width="11.81640625" bestFit="1" customWidth="1"/>
  </cols>
  <sheetData>
    <row r="2" spans="1:10" x14ac:dyDescent="0.35">
      <c r="A2" s="48" t="s">
        <v>1</v>
      </c>
      <c r="B2" s="49" t="s">
        <v>103</v>
      </c>
      <c r="C2" s="40" t="s">
        <v>104</v>
      </c>
    </row>
    <row r="3" spans="1:10" x14ac:dyDescent="0.35">
      <c r="A3" s="67">
        <v>44927</v>
      </c>
      <c r="B3" s="42" t="s">
        <v>106</v>
      </c>
      <c r="C3" s="46">
        <v>87</v>
      </c>
    </row>
    <row r="4" spans="1:10" x14ac:dyDescent="0.35">
      <c r="A4" s="67">
        <v>44928</v>
      </c>
      <c r="B4" s="42" t="s">
        <v>105</v>
      </c>
      <c r="C4" s="46">
        <v>46</v>
      </c>
    </row>
    <row r="5" spans="1:10" x14ac:dyDescent="0.35">
      <c r="A5" s="67">
        <v>44929</v>
      </c>
      <c r="B5" s="42" t="s">
        <v>105</v>
      </c>
      <c r="C5" s="46">
        <v>53</v>
      </c>
    </row>
    <row r="6" spans="1:10" x14ac:dyDescent="0.35">
      <c r="A6" s="67">
        <v>44930</v>
      </c>
      <c r="B6" s="42" t="s">
        <v>105</v>
      </c>
      <c r="C6" s="46">
        <v>120</v>
      </c>
    </row>
    <row r="7" spans="1:10" x14ac:dyDescent="0.35">
      <c r="A7" s="67">
        <v>44931</v>
      </c>
      <c r="B7" s="42" t="s">
        <v>105</v>
      </c>
      <c r="C7" s="46">
        <v>96</v>
      </c>
    </row>
    <row r="8" spans="1:10" x14ac:dyDescent="0.35">
      <c r="A8" s="67">
        <v>44932</v>
      </c>
      <c r="B8" s="42" t="s">
        <v>106</v>
      </c>
      <c r="C8" s="46">
        <v>90</v>
      </c>
    </row>
    <row r="9" spans="1:10" x14ac:dyDescent="0.35">
      <c r="A9" s="67">
        <v>44933</v>
      </c>
      <c r="B9" s="42" t="s">
        <v>106</v>
      </c>
      <c r="C9" s="46">
        <v>63</v>
      </c>
    </row>
    <row r="10" spans="1:10" x14ac:dyDescent="0.35">
      <c r="A10" s="67">
        <v>44934</v>
      </c>
      <c r="B10" s="42" t="s">
        <v>106</v>
      </c>
      <c r="C10" s="46">
        <v>132</v>
      </c>
    </row>
    <row r="11" spans="1:10" x14ac:dyDescent="0.35">
      <c r="A11" s="67">
        <v>44935</v>
      </c>
      <c r="B11" s="42" t="s">
        <v>107</v>
      </c>
      <c r="C11" s="46">
        <v>108</v>
      </c>
    </row>
    <row r="12" spans="1:10" x14ac:dyDescent="0.35">
      <c r="A12" s="67">
        <v>44936</v>
      </c>
      <c r="B12" s="42" t="s">
        <v>107</v>
      </c>
      <c r="C12" s="46">
        <v>149</v>
      </c>
    </row>
    <row r="13" spans="1:10" x14ac:dyDescent="0.35">
      <c r="A13" s="67">
        <v>44937</v>
      </c>
      <c r="B13" s="42" t="s">
        <v>107</v>
      </c>
      <c r="C13" s="46">
        <v>93</v>
      </c>
    </row>
    <row r="14" spans="1:10" x14ac:dyDescent="0.35">
      <c r="A14" s="68">
        <v>44938</v>
      </c>
      <c r="B14" s="50" t="s">
        <v>107</v>
      </c>
      <c r="C14" s="37">
        <v>42</v>
      </c>
    </row>
    <row r="16" spans="1:10" x14ac:dyDescent="0.35">
      <c r="I16" s="10" t="s">
        <v>35</v>
      </c>
      <c r="J16" t="s">
        <v>108</v>
      </c>
    </row>
    <row r="17" spans="9:10" x14ac:dyDescent="0.35">
      <c r="I17" s="34" t="s">
        <v>106</v>
      </c>
      <c r="J17" s="33">
        <v>372</v>
      </c>
    </row>
    <row r="18" spans="9:10" x14ac:dyDescent="0.35">
      <c r="I18" s="34" t="s">
        <v>109</v>
      </c>
      <c r="J18" s="33">
        <v>707</v>
      </c>
    </row>
    <row r="19" spans="9:10" x14ac:dyDescent="0.35">
      <c r="I19" s="34" t="s">
        <v>36</v>
      </c>
      <c r="J19" s="33">
        <v>1079</v>
      </c>
    </row>
  </sheetData>
  <pageMargins left="0.7" right="0.7" top="0.75" bottom="0.75" header="0.3" footer="0.3"/>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E5219A-1177-465A-94FF-35B839A3DA6D}">
  <sheetPr codeName="Sheet6"/>
  <dimension ref="B3:S26"/>
  <sheetViews>
    <sheetView topLeftCell="B4" zoomScale="70" zoomScaleNormal="70" workbookViewId="0">
      <selection activeCell="N3" sqref="N3"/>
    </sheetView>
  </sheetViews>
  <sheetFormatPr defaultRowHeight="14.5" x14ac:dyDescent="0.35"/>
  <cols>
    <col min="2" max="2" width="12.81640625" customWidth="1"/>
    <col min="3" max="3" width="13.1796875" customWidth="1"/>
    <col min="4" max="4" width="12.7265625" customWidth="1"/>
    <col min="5" max="5" width="13.453125" customWidth="1"/>
    <col min="6" max="6" width="13.7265625" customWidth="1"/>
    <col min="7" max="7" width="11.453125" customWidth="1"/>
    <col min="8" max="8" width="12.81640625" customWidth="1"/>
    <col min="9" max="9" width="10.81640625" customWidth="1"/>
  </cols>
  <sheetData>
    <row r="3" spans="2:19" x14ac:dyDescent="0.35">
      <c r="B3" s="30" t="s">
        <v>96</v>
      </c>
      <c r="C3" s="30"/>
      <c r="D3" s="30"/>
      <c r="L3" t="s">
        <v>97</v>
      </c>
    </row>
    <row r="5" spans="2:19" ht="15" thickBot="1" x14ac:dyDescent="0.4"/>
    <row r="6" spans="2:19" ht="18.5" x14ac:dyDescent="0.45">
      <c r="B6" s="55" t="s">
        <v>1</v>
      </c>
      <c r="C6" s="56" t="s">
        <v>2</v>
      </c>
      <c r="D6" s="56" t="s">
        <v>3</v>
      </c>
      <c r="E6" s="56" t="s">
        <v>4</v>
      </c>
      <c r="F6" s="56" t="s">
        <v>5</v>
      </c>
      <c r="G6" s="56" t="s">
        <v>6</v>
      </c>
      <c r="H6" s="56" t="s">
        <v>28</v>
      </c>
      <c r="I6" s="57" t="s">
        <v>7</v>
      </c>
      <c r="L6" t="s">
        <v>1</v>
      </c>
      <c r="M6" t="s">
        <v>2</v>
      </c>
      <c r="N6" t="s">
        <v>3</v>
      </c>
      <c r="O6" t="s">
        <v>4</v>
      </c>
      <c r="P6" t="s">
        <v>5</v>
      </c>
      <c r="Q6" t="s">
        <v>6</v>
      </c>
      <c r="R6" t="s">
        <v>28</v>
      </c>
      <c r="S6" t="s">
        <v>7</v>
      </c>
    </row>
    <row r="7" spans="2:19" x14ac:dyDescent="0.35">
      <c r="B7" s="64">
        <v>45166</v>
      </c>
      <c r="C7" s="58">
        <v>65558.91</v>
      </c>
      <c r="D7" s="58">
        <v>65924.67</v>
      </c>
      <c r="E7" s="58">
        <v>65558.91</v>
      </c>
      <c r="F7" s="58">
        <v>65909.179999999993</v>
      </c>
      <c r="G7" s="59" t="s">
        <v>8</v>
      </c>
      <c r="H7" s="59" t="s">
        <v>29</v>
      </c>
      <c r="I7" s="62">
        <v>5.3E-3</v>
      </c>
      <c r="L7">
        <v>45166</v>
      </c>
      <c r="M7">
        <v>65558.91</v>
      </c>
      <c r="N7">
        <v>65924.67</v>
      </c>
      <c r="O7">
        <v>65558.91</v>
      </c>
      <c r="P7">
        <v>65909.179999999993</v>
      </c>
      <c r="Q7" t="s">
        <v>8</v>
      </c>
      <c r="R7" t="s">
        <v>29</v>
      </c>
      <c r="S7">
        <v>5.3E-3</v>
      </c>
    </row>
    <row r="8" spans="2:19" x14ac:dyDescent="0.35">
      <c r="B8" s="64">
        <v>45163</v>
      </c>
      <c r="C8" s="58">
        <v>65401.82</v>
      </c>
      <c r="D8" s="58">
        <v>65585.279999999999</v>
      </c>
      <c r="E8" s="58">
        <v>65401.82</v>
      </c>
      <c r="F8" s="58">
        <v>65558.91</v>
      </c>
      <c r="G8" s="59" t="s">
        <v>9</v>
      </c>
      <c r="H8" s="59" t="s">
        <v>30</v>
      </c>
      <c r="I8" s="62">
        <v>2.3999999999999998E-3</v>
      </c>
      <c r="L8">
        <v>45163</v>
      </c>
      <c r="M8">
        <v>65401.82</v>
      </c>
      <c r="N8">
        <v>65585.279999999999</v>
      </c>
      <c r="O8">
        <v>65401.82</v>
      </c>
      <c r="P8">
        <v>65558.91</v>
      </c>
      <c r="Q8" t="s">
        <v>9</v>
      </c>
      <c r="R8" t="s">
        <v>30</v>
      </c>
      <c r="S8">
        <v>2.3999999999999998E-3</v>
      </c>
    </row>
    <row r="9" spans="2:19" x14ac:dyDescent="0.35">
      <c r="B9" s="64">
        <v>45162</v>
      </c>
      <c r="C9" s="58">
        <v>65493.1</v>
      </c>
      <c r="D9" s="58">
        <v>66185.039999999994</v>
      </c>
      <c r="E9" s="58">
        <v>65374.39</v>
      </c>
      <c r="F9" s="58">
        <v>65401.82</v>
      </c>
      <c r="G9" s="59" t="s">
        <v>10</v>
      </c>
      <c r="H9" s="59" t="s">
        <v>31</v>
      </c>
      <c r="I9" s="62">
        <v>-1.4E-3</v>
      </c>
      <c r="L9">
        <v>45162</v>
      </c>
      <c r="M9">
        <v>65493.1</v>
      </c>
      <c r="N9">
        <v>66185.039999999994</v>
      </c>
      <c r="O9">
        <v>65374.39</v>
      </c>
      <c r="P9">
        <v>65401.82</v>
      </c>
      <c r="Q9" t="s">
        <v>10</v>
      </c>
      <c r="R9" t="s">
        <v>31</v>
      </c>
      <c r="S9">
        <v>-1.4E-3</v>
      </c>
    </row>
    <row r="10" spans="2:19" x14ac:dyDescent="0.35">
      <c r="B10" s="64">
        <v>45161</v>
      </c>
      <c r="C10" s="58">
        <v>65488.67</v>
      </c>
      <c r="D10" s="58">
        <v>65567.61</v>
      </c>
      <c r="E10" s="58">
        <v>65416.76</v>
      </c>
      <c r="F10" s="58">
        <v>65492.92</v>
      </c>
      <c r="G10" s="59" t="s">
        <v>11</v>
      </c>
      <c r="H10" s="59" t="s">
        <v>32</v>
      </c>
      <c r="I10" s="62">
        <v>1E-4</v>
      </c>
      <c r="L10">
        <v>45161</v>
      </c>
      <c r="M10">
        <v>65488.67</v>
      </c>
      <c r="N10">
        <v>65567.61</v>
      </c>
      <c r="O10">
        <v>65416.76</v>
      </c>
      <c r="P10">
        <v>65492.92</v>
      </c>
      <c r="Q10" t="s">
        <v>11</v>
      </c>
      <c r="R10" t="s">
        <v>32</v>
      </c>
      <c r="S10">
        <v>1E-4</v>
      </c>
    </row>
    <row r="11" spans="2:19" x14ac:dyDescent="0.35">
      <c r="B11" s="64">
        <v>45160</v>
      </c>
      <c r="C11" s="58">
        <v>65198.74</v>
      </c>
      <c r="D11" s="58">
        <v>65672.679999999993</v>
      </c>
      <c r="E11" s="58">
        <v>65191.01</v>
      </c>
      <c r="F11" s="58">
        <v>65488.67</v>
      </c>
      <c r="G11" s="59" t="s">
        <v>12</v>
      </c>
      <c r="H11" s="59" t="s">
        <v>33</v>
      </c>
      <c r="I11" s="62">
        <v>4.4000000000000003E-3</v>
      </c>
      <c r="L11">
        <v>45160</v>
      </c>
      <c r="M11">
        <v>65198.74</v>
      </c>
      <c r="N11">
        <v>65672.679999999993</v>
      </c>
      <c r="O11">
        <v>65191.01</v>
      </c>
      <c r="P11">
        <v>65488.67</v>
      </c>
      <c r="Q11" t="s">
        <v>12</v>
      </c>
      <c r="R11" t="s">
        <v>33</v>
      </c>
      <c r="S11">
        <v>4.4000000000000003E-3</v>
      </c>
    </row>
    <row r="12" spans="2:19" x14ac:dyDescent="0.35">
      <c r="B12" s="64">
        <v>45159</v>
      </c>
      <c r="C12" s="58">
        <v>64721.09</v>
      </c>
      <c r="D12" s="58">
        <v>65202.41</v>
      </c>
      <c r="E12" s="58">
        <v>64690.33</v>
      </c>
      <c r="F12" s="58">
        <v>65202.41</v>
      </c>
      <c r="G12" s="59" t="s">
        <v>13</v>
      </c>
      <c r="H12" s="59" t="s">
        <v>34</v>
      </c>
      <c r="I12" s="62">
        <v>7.1000000000000004E-3</v>
      </c>
      <c r="L12">
        <v>45159</v>
      </c>
      <c r="M12">
        <v>64721.09</v>
      </c>
      <c r="N12">
        <v>65202.41</v>
      </c>
      <c r="O12">
        <v>64690.33</v>
      </c>
      <c r="P12">
        <v>65202.41</v>
      </c>
      <c r="Q12" t="s">
        <v>13</v>
      </c>
      <c r="R12" t="s">
        <v>34</v>
      </c>
      <c r="S12">
        <v>7.1000000000000004E-3</v>
      </c>
    </row>
    <row r="13" spans="2:19" x14ac:dyDescent="0.35">
      <c r="B13" s="64">
        <v>45156</v>
      </c>
      <c r="C13" s="58">
        <v>64469.75</v>
      </c>
      <c r="D13" s="58">
        <v>64784.47</v>
      </c>
      <c r="E13" s="58">
        <v>64450.400000000001</v>
      </c>
      <c r="F13" s="58">
        <v>64743.96</v>
      </c>
      <c r="G13" s="59" t="s">
        <v>14</v>
      </c>
      <c r="H13" s="59" t="s">
        <v>29</v>
      </c>
      <c r="I13" s="62">
        <v>1.1999999999999999E-3</v>
      </c>
      <c r="L13">
        <v>45156</v>
      </c>
      <c r="M13">
        <v>64469.75</v>
      </c>
      <c r="N13">
        <v>64784.47</v>
      </c>
      <c r="O13">
        <v>64450.400000000001</v>
      </c>
      <c r="P13">
        <v>64743.96</v>
      </c>
      <c r="Q13" t="s">
        <v>14</v>
      </c>
      <c r="R13" t="s">
        <v>29</v>
      </c>
      <c r="S13">
        <v>1.1999999999999999E-3</v>
      </c>
    </row>
    <row r="14" spans="2:19" x14ac:dyDescent="0.35">
      <c r="B14" s="64">
        <v>45155</v>
      </c>
      <c r="C14" s="58">
        <v>64625.279999999999</v>
      </c>
      <c r="D14" s="58">
        <v>64663.78</v>
      </c>
      <c r="E14" s="58">
        <v>64452.84</v>
      </c>
      <c r="F14" s="58">
        <v>64663.78</v>
      </c>
      <c r="G14" s="59" t="s">
        <v>15</v>
      </c>
      <c r="H14" s="59" t="s">
        <v>31</v>
      </c>
      <c r="I14" s="62">
        <v>5.9999999999999995E-4</v>
      </c>
      <c r="L14">
        <v>45155</v>
      </c>
      <c r="M14">
        <v>64625.279999999999</v>
      </c>
      <c r="N14">
        <v>64663.78</v>
      </c>
      <c r="O14">
        <v>64452.84</v>
      </c>
      <c r="P14">
        <v>64663.78</v>
      </c>
      <c r="Q14" t="s">
        <v>15</v>
      </c>
      <c r="R14" t="s">
        <v>31</v>
      </c>
      <c r="S14">
        <v>5.9999999999999995E-4</v>
      </c>
    </row>
    <row r="15" spans="2:19" x14ac:dyDescent="0.35">
      <c r="B15" s="64">
        <v>45154</v>
      </c>
      <c r="C15" s="58">
        <v>64928.98</v>
      </c>
      <c r="D15" s="58">
        <v>65128.21</v>
      </c>
      <c r="E15" s="58">
        <v>64549.58</v>
      </c>
      <c r="F15" s="58">
        <v>64625.279999999999</v>
      </c>
      <c r="G15" s="59" t="s">
        <v>16</v>
      </c>
      <c r="H15" s="59" t="s">
        <v>31</v>
      </c>
      <c r="I15" s="62">
        <v>-4.7000000000000002E-3</v>
      </c>
      <c r="L15">
        <v>45154</v>
      </c>
      <c r="M15">
        <v>64928.98</v>
      </c>
      <c r="N15">
        <v>65128.21</v>
      </c>
      <c r="O15">
        <v>64549.58</v>
      </c>
      <c r="P15">
        <v>64625.279999999999</v>
      </c>
      <c r="Q15" t="s">
        <v>16</v>
      </c>
      <c r="R15" t="s">
        <v>31</v>
      </c>
      <c r="S15">
        <v>-4.7000000000000002E-3</v>
      </c>
    </row>
    <row r="16" spans="2:19" x14ac:dyDescent="0.35">
      <c r="B16" s="64">
        <v>45153</v>
      </c>
      <c r="C16" s="58">
        <v>65023.8</v>
      </c>
      <c r="D16" s="58">
        <v>65028.46</v>
      </c>
      <c r="E16" s="58">
        <v>64860.22</v>
      </c>
      <c r="F16" s="58">
        <v>64928.98</v>
      </c>
      <c r="G16" s="59" t="s">
        <v>17</v>
      </c>
      <c r="H16" s="59" t="s">
        <v>31</v>
      </c>
      <c r="I16" s="62">
        <v>-4.3E-3</v>
      </c>
      <c r="L16">
        <v>45153</v>
      </c>
      <c r="M16">
        <v>65023.8</v>
      </c>
      <c r="N16">
        <v>65028.46</v>
      </c>
      <c r="O16">
        <v>64860.22</v>
      </c>
      <c r="P16">
        <v>64928.98</v>
      </c>
      <c r="Q16" t="s">
        <v>17</v>
      </c>
      <c r="R16" t="s">
        <v>31</v>
      </c>
      <c r="S16">
        <v>-4.3E-3</v>
      </c>
    </row>
    <row r="17" spans="2:19" x14ac:dyDescent="0.35">
      <c r="B17" s="64">
        <v>45152</v>
      </c>
      <c r="C17" s="58">
        <v>65325.37</v>
      </c>
      <c r="D17" s="58">
        <v>65358.76</v>
      </c>
      <c r="E17" s="58">
        <v>65183.22</v>
      </c>
      <c r="F17" s="58">
        <v>65210.49</v>
      </c>
      <c r="G17" s="59" t="s">
        <v>18</v>
      </c>
      <c r="H17" s="59" t="s">
        <v>32</v>
      </c>
      <c r="I17" s="62">
        <v>-1.8E-3</v>
      </c>
      <c r="L17">
        <v>45152</v>
      </c>
      <c r="M17">
        <v>65325.37</v>
      </c>
      <c r="N17">
        <v>65358.76</v>
      </c>
      <c r="O17">
        <v>65183.22</v>
      </c>
      <c r="P17">
        <v>65210.49</v>
      </c>
      <c r="Q17" t="s">
        <v>18</v>
      </c>
      <c r="R17" t="s">
        <v>32</v>
      </c>
      <c r="S17">
        <v>-1.8E-3</v>
      </c>
    </row>
    <row r="18" spans="2:19" x14ac:dyDescent="0.35">
      <c r="B18" s="64">
        <v>45149</v>
      </c>
      <c r="C18" s="58">
        <v>65204.82</v>
      </c>
      <c r="D18" s="58">
        <v>65352.7</v>
      </c>
      <c r="E18" s="58">
        <v>65189.91</v>
      </c>
      <c r="F18" s="58">
        <v>65325.37</v>
      </c>
      <c r="G18" s="59" t="s">
        <v>19</v>
      </c>
      <c r="H18" s="59" t="s">
        <v>32</v>
      </c>
      <c r="I18" s="62">
        <v>1.8E-3</v>
      </c>
      <c r="L18">
        <v>45149</v>
      </c>
      <c r="M18">
        <v>65204.82</v>
      </c>
      <c r="N18">
        <v>65352.7</v>
      </c>
      <c r="O18">
        <v>65189.91</v>
      </c>
      <c r="P18">
        <v>65325.37</v>
      </c>
      <c r="Q18" t="s">
        <v>19</v>
      </c>
      <c r="R18" t="s">
        <v>32</v>
      </c>
      <c r="S18">
        <v>1.8E-3</v>
      </c>
    </row>
    <row r="19" spans="2:19" x14ac:dyDescent="0.35">
      <c r="B19" s="64">
        <v>45148</v>
      </c>
      <c r="C19" s="58">
        <v>64167.39</v>
      </c>
      <c r="D19" s="58">
        <v>65205.35</v>
      </c>
      <c r="E19" s="58">
        <v>64154.19</v>
      </c>
      <c r="F19" s="58">
        <v>65205.35</v>
      </c>
      <c r="G19" s="59" t="s">
        <v>20</v>
      </c>
      <c r="H19" s="59" t="s">
        <v>33</v>
      </c>
      <c r="I19" s="62">
        <v>1.6199999999999999E-2</v>
      </c>
      <c r="L19">
        <v>45148</v>
      </c>
      <c r="M19">
        <v>64167.39</v>
      </c>
      <c r="N19">
        <v>65205.35</v>
      </c>
      <c r="O19">
        <v>64154.19</v>
      </c>
      <c r="P19">
        <v>65205.35</v>
      </c>
      <c r="Q19" t="s">
        <v>20</v>
      </c>
      <c r="R19" t="s">
        <v>33</v>
      </c>
      <c r="S19">
        <v>1.6199999999999999E-2</v>
      </c>
    </row>
    <row r="20" spans="2:19" x14ac:dyDescent="0.35">
      <c r="B20" s="64">
        <v>45147</v>
      </c>
      <c r="C20" s="58">
        <v>65385.45</v>
      </c>
      <c r="D20" s="58">
        <v>65396.93</v>
      </c>
      <c r="E20" s="58">
        <v>64167.39</v>
      </c>
      <c r="F20" s="58">
        <v>64167.39</v>
      </c>
      <c r="G20" s="59" t="s">
        <v>21</v>
      </c>
      <c r="H20" s="59" t="s">
        <v>33</v>
      </c>
      <c r="I20" s="62">
        <v>-1.7500000000000002E-2</v>
      </c>
      <c r="L20">
        <v>45147</v>
      </c>
      <c r="M20">
        <v>65385.45</v>
      </c>
      <c r="N20">
        <v>65396.93</v>
      </c>
      <c r="O20">
        <v>64167.39</v>
      </c>
      <c r="P20">
        <v>64167.39</v>
      </c>
      <c r="Q20" t="s">
        <v>21</v>
      </c>
      <c r="R20" t="s">
        <v>33</v>
      </c>
      <c r="S20">
        <v>-1.7500000000000002E-2</v>
      </c>
    </row>
    <row r="21" spans="2:19" x14ac:dyDescent="0.35">
      <c r="B21" s="64">
        <v>45146</v>
      </c>
      <c r="C21" s="58">
        <v>65336.71</v>
      </c>
      <c r="D21" s="58">
        <v>65393.68</v>
      </c>
      <c r="E21" s="58">
        <v>65212.959999999999</v>
      </c>
      <c r="F21" s="58">
        <v>65309.65</v>
      </c>
      <c r="G21" s="59" t="s">
        <v>22</v>
      </c>
      <c r="H21" s="59" t="s">
        <v>34</v>
      </c>
      <c r="I21" s="62">
        <v>-4.0000000000000002E-4</v>
      </c>
      <c r="L21">
        <v>45146</v>
      </c>
      <c r="M21">
        <v>65336.71</v>
      </c>
      <c r="N21">
        <v>65393.68</v>
      </c>
      <c r="O21">
        <v>65212.959999999999</v>
      </c>
      <c r="P21">
        <v>65309.65</v>
      </c>
      <c r="Q21" t="s">
        <v>22</v>
      </c>
      <c r="R21" t="s">
        <v>34</v>
      </c>
      <c r="S21">
        <v>-4.0000000000000002E-4</v>
      </c>
    </row>
    <row r="22" spans="2:19" x14ac:dyDescent="0.35">
      <c r="B22" s="64">
        <v>45145</v>
      </c>
      <c r="C22" s="58">
        <v>65198.080000000002</v>
      </c>
      <c r="D22" s="58">
        <v>65340.27</v>
      </c>
      <c r="E22" s="58">
        <v>65192.01</v>
      </c>
      <c r="F22" s="58">
        <v>65336.800000000003</v>
      </c>
      <c r="G22" s="59" t="s">
        <v>23</v>
      </c>
      <c r="H22" s="59" t="s">
        <v>30</v>
      </c>
      <c r="I22" s="62">
        <v>2.0999999999999999E-3</v>
      </c>
      <c r="L22">
        <v>45145</v>
      </c>
      <c r="M22">
        <v>65198.080000000002</v>
      </c>
      <c r="N22">
        <v>65340.27</v>
      </c>
      <c r="O22">
        <v>65192.01</v>
      </c>
      <c r="P22">
        <v>65336.800000000003</v>
      </c>
      <c r="Q22" t="s">
        <v>23</v>
      </c>
      <c r="R22" t="s">
        <v>30</v>
      </c>
      <c r="S22">
        <v>2.0999999999999999E-3</v>
      </c>
    </row>
    <row r="23" spans="2:19" x14ac:dyDescent="0.35">
      <c r="B23" s="64">
        <v>45142</v>
      </c>
      <c r="C23" s="58">
        <v>65263.06</v>
      </c>
      <c r="D23" s="58">
        <v>65309.66</v>
      </c>
      <c r="E23" s="58">
        <v>64910.29</v>
      </c>
      <c r="F23" s="58">
        <v>65198.080000000002</v>
      </c>
      <c r="G23" s="59" t="s">
        <v>24</v>
      </c>
      <c r="H23" s="59" t="s">
        <v>34</v>
      </c>
      <c r="I23" s="62">
        <v>-1E-3</v>
      </c>
      <c r="L23">
        <v>45142</v>
      </c>
      <c r="M23">
        <v>65263.06</v>
      </c>
      <c r="N23">
        <v>65309.66</v>
      </c>
      <c r="O23">
        <v>64910.29</v>
      </c>
      <c r="P23">
        <v>65198.080000000002</v>
      </c>
      <c r="Q23" t="s">
        <v>24</v>
      </c>
      <c r="R23" t="s">
        <v>34</v>
      </c>
      <c r="S23">
        <v>-1E-3</v>
      </c>
    </row>
    <row r="24" spans="2:19" x14ac:dyDescent="0.35">
      <c r="B24" s="64">
        <v>45141</v>
      </c>
      <c r="C24" s="58">
        <v>64267.360000000001</v>
      </c>
      <c r="D24" s="58">
        <v>65323.199999999997</v>
      </c>
      <c r="E24" s="58">
        <v>64267.360000000001</v>
      </c>
      <c r="F24" s="58">
        <v>65263.06</v>
      </c>
      <c r="G24" s="59" t="s">
        <v>25</v>
      </c>
      <c r="H24" s="59" t="s">
        <v>29</v>
      </c>
      <c r="I24" s="62">
        <v>1.55E-2</v>
      </c>
      <c r="L24">
        <v>45141</v>
      </c>
      <c r="M24">
        <v>64267.360000000001</v>
      </c>
      <c r="N24">
        <v>65323.199999999997</v>
      </c>
      <c r="O24">
        <v>64267.360000000001</v>
      </c>
      <c r="P24">
        <v>65263.06</v>
      </c>
      <c r="Q24" t="s">
        <v>25</v>
      </c>
      <c r="R24" t="s">
        <v>29</v>
      </c>
      <c r="S24">
        <v>1.55E-2</v>
      </c>
    </row>
    <row r="25" spans="2:19" x14ac:dyDescent="0.35">
      <c r="B25" s="64">
        <v>45140</v>
      </c>
      <c r="C25" s="58">
        <v>64193.38</v>
      </c>
      <c r="D25" s="58">
        <v>64301.59</v>
      </c>
      <c r="E25" s="58">
        <v>63773.760000000002</v>
      </c>
      <c r="F25" s="58">
        <v>64267.360000000001</v>
      </c>
      <c r="G25" s="59" t="s">
        <v>26</v>
      </c>
      <c r="H25" s="59" t="s">
        <v>29</v>
      </c>
      <c r="I25" s="62">
        <v>1.1999999999999999E-3</v>
      </c>
      <c r="L25">
        <v>45140</v>
      </c>
      <c r="M25">
        <v>64193.38</v>
      </c>
      <c r="N25">
        <v>64301.59</v>
      </c>
      <c r="O25">
        <v>63773.760000000002</v>
      </c>
      <c r="P25">
        <v>64267.360000000001</v>
      </c>
      <c r="Q25" t="s">
        <v>26</v>
      </c>
      <c r="R25" t="s">
        <v>29</v>
      </c>
      <c r="S25">
        <v>1.1999999999999999E-3</v>
      </c>
    </row>
    <row r="26" spans="2:19" ht="15" thickBot="1" x14ac:dyDescent="0.4">
      <c r="B26" s="65">
        <v>45139</v>
      </c>
      <c r="C26" s="60">
        <v>64337.3</v>
      </c>
      <c r="D26" s="60">
        <v>64340.24</v>
      </c>
      <c r="E26" s="60">
        <v>64003.17</v>
      </c>
      <c r="F26" s="60">
        <v>64192.2</v>
      </c>
      <c r="G26" s="61" t="s">
        <v>27</v>
      </c>
      <c r="H26" s="61" t="s">
        <v>32</v>
      </c>
      <c r="I26" s="63">
        <v>-2.3E-3</v>
      </c>
      <c r="L26">
        <v>45139</v>
      </c>
      <c r="M26">
        <v>64337.3</v>
      </c>
      <c r="N26">
        <v>64340.24</v>
      </c>
      <c r="O26">
        <v>64003.17</v>
      </c>
      <c r="P26">
        <v>64192.2</v>
      </c>
      <c r="Q26" t="s">
        <v>27</v>
      </c>
      <c r="R26" t="s">
        <v>32</v>
      </c>
      <c r="S26">
        <v>-2.3E-3</v>
      </c>
    </row>
  </sheetData>
  <mergeCells count="1">
    <mergeCell ref="B3:D3"/>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293B5-A4C7-4E95-B866-9DF94BBB473A}">
  <sheetPr codeName="Sheet7"/>
  <dimension ref="C3:C6"/>
  <sheetViews>
    <sheetView workbookViewId="0">
      <selection activeCell="C11" sqref="C11"/>
    </sheetView>
  </sheetViews>
  <sheetFormatPr defaultRowHeight="14.5" x14ac:dyDescent="0.35"/>
  <sheetData>
    <row r="3" spans="3:3" ht="20.5" x14ac:dyDescent="0.45">
      <c r="C3" s="69" t="s">
        <v>29</v>
      </c>
    </row>
    <row r="4" spans="3:3" ht="20.5" x14ac:dyDescent="0.45">
      <c r="C4" s="70" t="s">
        <v>110</v>
      </c>
    </row>
    <row r="5" spans="3:3" ht="20.5" x14ac:dyDescent="0.45">
      <c r="C5" s="70" t="s">
        <v>111</v>
      </c>
    </row>
    <row r="6" spans="3:3" ht="20.5" x14ac:dyDescent="0.45">
      <c r="C6" s="71" t="s">
        <v>112</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3C30F-4834-4D1C-A5A9-0C6D0D8FB0BD}">
  <sheetPr codeName="Sheet8"/>
  <dimension ref="B2:B5"/>
  <sheetViews>
    <sheetView tabSelected="1" workbookViewId="0">
      <selection activeCell="C8" sqref="C8"/>
    </sheetView>
  </sheetViews>
  <sheetFormatPr defaultRowHeight="14.5" x14ac:dyDescent="0.35"/>
  <sheetData>
    <row r="2" spans="2:2" x14ac:dyDescent="0.35">
      <c r="B2" s="72" t="s">
        <v>29</v>
      </c>
    </row>
    <row r="3" spans="2:2" x14ac:dyDescent="0.35">
      <c r="B3" s="72" t="s">
        <v>53</v>
      </c>
    </row>
    <row r="4" spans="2:2" x14ac:dyDescent="0.35">
      <c r="B4" s="72" t="s">
        <v>54</v>
      </c>
    </row>
    <row r="5" spans="2:2" x14ac:dyDescent="0.35">
      <c r="B5" s="72" t="s">
        <v>33</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7</vt:i4>
      </vt:variant>
    </vt:vector>
  </HeadingPairs>
  <TitlesOfParts>
    <vt:vector size="15" baseType="lpstr">
      <vt:lpstr>Pivot_table</vt:lpstr>
      <vt:lpstr>Macros</vt:lpstr>
      <vt:lpstr>Pivot_table and chart</vt:lpstr>
      <vt:lpstr>Pivot_table_grouping</vt:lpstr>
      <vt:lpstr>Sheet7</vt:lpstr>
      <vt:lpstr>Testing_macro</vt:lpstr>
      <vt:lpstr>Relative ref</vt:lpstr>
      <vt:lpstr>Absolute ref macros</vt:lpstr>
      <vt:lpstr>Cat</vt:lpstr>
      <vt:lpstr>Cheetah</vt:lpstr>
      <vt:lpstr>Dog</vt:lpstr>
      <vt:lpstr>Giraffe</vt:lpstr>
      <vt:lpstr>Lion</vt:lpstr>
      <vt:lpstr>Tiger</vt:lpstr>
      <vt:lpstr>Wolf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Umesh Shetty, Akshatha</dc:creator>
  <cp:lastModifiedBy>Umesh Shetty, Akshatha</cp:lastModifiedBy>
  <dcterms:created xsi:type="dcterms:W3CDTF">2015-06-05T18:17:20Z</dcterms:created>
  <dcterms:modified xsi:type="dcterms:W3CDTF">2023-08-31T11:19:40Z</dcterms:modified>
</cp:coreProperties>
</file>